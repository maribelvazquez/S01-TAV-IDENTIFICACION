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ICIO" sheetId="1" state="visible" r:id="rId1"/>
    <sheet xmlns:r="http://schemas.openxmlformats.org/officeDocument/2006/relationships" name="A1 EXPOSICION" sheetId="2" state="visible" r:id="rId2"/>
    <sheet xmlns:r="http://schemas.openxmlformats.org/officeDocument/2006/relationships" name="A2 CONSECUENCIAS" sheetId="3" state="visible" r:id="rId3"/>
    <sheet xmlns:r="http://schemas.openxmlformats.org/officeDocument/2006/relationships" name="A3 INHERENTE" sheetId="4" state="visible" r:id="rId4"/>
    <sheet xmlns:r="http://schemas.openxmlformats.org/officeDocument/2006/relationships" name="A4 CONTROLES MINIMOS" sheetId="5" state="visible" r:id="rId5"/>
    <sheet xmlns:r="http://schemas.openxmlformats.org/officeDocument/2006/relationships" name="A4 BIS ADICIONALES" sheetId="6" state="visible" r:id="rId6"/>
    <sheet xmlns:r="http://schemas.openxmlformats.org/officeDocument/2006/relationships" name="A5 RESIDUAL" sheetId="7" state="visible" r:id="rId7"/>
    <sheet xmlns:r="http://schemas.openxmlformats.org/officeDocument/2006/relationships" name="A6 TABLERO" sheetId="8" state="visible" r:id="rId8"/>
    <sheet xmlns:r="http://schemas.openxmlformats.org/officeDocument/2006/relationships" name="A7 NUEVOS PRODUCTOS" sheetId="9" state="visible" r:id="rId9"/>
    <sheet xmlns:r="http://schemas.openxmlformats.org/officeDocument/2006/relationships" name="A8 TOLERANCIA" sheetId="10" state="visible" r:id="rId10"/>
    <sheet xmlns:r="http://schemas.openxmlformats.org/officeDocument/2006/relationships" name="A9 CONSTANCIA Y FUENTES" sheetId="11" state="visible" r:id="rId11"/>
    <sheet xmlns:r="http://schemas.openxmlformats.org/officeDocument/2006/relationships" name="PRODUCTOS" sheetId="12" state="visible" r:id="rId12"/>
    <sheet xmlns:r="http://schemas.openxmlformats.org/officeDocument/2006/relationships" name="VARIABLES" sheetId="13" state="visible" r:id="rId13"/>
    <sheet xmlns:r="http://schemas.openxmlformats.org/officeDocument/2006/relationships" name="B CLIENTE" sheetId="14" state="visible" r:id="rId14"/>
    <sheet xmlns:r="http://schemas.openxmlformats.org/officeDocument/2006/relationships" name="PARAMETROS" sheetId="15" state="visible" r:id="rId15"/>
    <sheet xmlns:r="http://schemas.openxmlformats.org/officeDocument/2006/relationships" name="CATALOGO" sheetId="16" state="visible" r:id="rId16"/>
    <sheet xmlns:r="http://schemas.openxmlformats.org/officeDocument/2006/relationships" name="BASE" sheetId="17" state="visible" r:id="rId17"/>
  </sheets>
  <definedNames>
    <definedName name="V_F01">'VARIABLES'!$E$8:$E$13</definedName>
    <definedName name="V_F02">'VARIABLES'!$E$14:$E$20</definedName>
    <definedName name="V_F03">'VARIABLES'!$E$21:$E$28</definedName>
    <definedName name="V_F04">'VARIABLES'!$E$29:$E$32</definedName>
    <definedName name="V_F05">'VARIABLES'!$E$33:$E$37</definedName>
    <definedName name="V_F06">'VARIABLES'!$E$38:$E$43</definedName>
    <definedName name="V_F07">'VARIABLES'!$E$44:$E$47</definedName>
    <definedName name="V_F08">'VARIABLES'!$E$48:$E$52</definedName>
    <definedName name="V_F09">'VARIABLES'!$E$53:$E$56</definedName>
    <definedName name="V_F10">'VARIABLES'!$E$57:$E$60</definedName>
    <definedName name="V_F12">'VARIABLES'!$E$61:$E$65</definedName>
    <definedName name="V_F13">'VARIABLES'!$E$66:$E$69</definedName>
    <definedName name="V_F14">'VARIABLES'!$E$70:$E$72</definedName>
    <definedName name="V_F15">'VARIABLES'!$E$73:$E$76</definedName>
    <definedName name="V_F16">'VARIABLES'!$E$77:$E$82</definedName>
    <definedName name="V_F17">'VARIABLES'!$E$83:$E$86</definedName>
    <definedName name="V_F18">'VARIABLES'!$E$87:$E$91</definedName>
    <definedName name="V_F19">'VARIABLES'!$E$92:$E$95</definedName>
    <definedName name="V_F20">'VARIABLES'!$E$96:$E$100</definedName>
    <definedName name="V_F21">'VARIABLES'!$E$101:$E$103</definedName>
    <definedName name="V_F22">'VARIABLES'!$E$104:$E$106</definedName>
    <definedName name="V_F23">'VARIABLES'!$E$107:$E$110</definedName>
    <definedName name="V_F11">'PRODUCTOS'!$C$8:$C$13</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dd/mm/yyyy"/>
    <numFmt numFmtId="165" formatCode="\$#,##0"/>
    <numFmt numFmtId="166" formatCode="0.0%"/>
    <numFmt numFmtId="167" formatCode="0.0"/>
    <numFmt numFmtId="168" formatCode="0.00000"/>
    <numFmt numFmtId="169" formatCode="yyyy\-mm\-dd"/>
    <numFmt numFmtId="170" formatCode="yyyy-mm-dd h:mm:ss"/>
    <numFmt numFmtId="171" formatCode="0 %"/>
  </numFmts>
  <fonts count="72">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5"/>
    </font>
    <font>
      <name val="Arial"/>
      <charset val="1"/>
      <family val="0"/>
      <i val="1"/>
      <color rgb="FF555555"/>
      <sz val="9"/>
    </font>
    <font>
      <name val="Arial"/>
      <charset val="1"/>
      <family val="0"/>
      <b val="1"/>
      <color rgb="FFC00000"/>
      <sz val="10"/>
    </font>
    <font>
      <name val="Arial"/>
      <charset val="1"/>
      <family val="0"/>
      <i val="1"/>
      <color rgb="FF1F4E79"/>
      <sz val="9"/>
    </font>
    <font>
      <name val="Arial"/>
      <charset val="1"/>
      <family val="0"/>
      <b val="1"/>
      <color rgb="FFFFFFFF"/>
      <sz val="10"/>
    </font>
    <font>
      <name val="Arial"/>
      <charset val="1"/>
      <family val="0"/>
      <sz val="9"/>
    </font>
    <font>
      <name val="Arial"/>
      <charset val="1"/>
      <family val="0"/>
      <color rgb="FF0000FF"/>
      <sz val="10"/>
    </font>
    <font>
      <name val="Arial"/>
      <charset val="1"/>
      <family val="0"/>
      <color rgb="FF006100"/>
      <sz val="10"/>
    </font>
    <font>
      <name val="Arial"/>
      <charset val="1"/>
      <family val="0"/>
      <color rgb="FF000000"/>
      <sz val="10"/>
    </font>
    <font>
      <name val="Arial"/>
      <charset val="1"/>
      <family val="0"/>
      <color rgb="FF0000FF"/>
      <sz val="9"/>
    </font>
    <font>
      <name val="Arial"/>
      <charset val="1"/>
      <family val="0"/>
      <color rgb="FFC00000"/>
      <sz val="9"/>
    </font>
    <font>
      <name val="Arial"/>
      <charset val="1"/>
      <family val="0"/>
      <b val="1"/>
      <color rgb="FF000000"/>
      <sz val="10"/>
    </font>
    <font>
      <name val="Arial"/>
      <charset val="1"/>
      <family val="0"/>
      <b val="1"/>
      <sz val="10"/>
    </font>
    <font>
      <name val="Arial"/>
      <charset val="1"/>
      <family val="0"/>
      <b val="1"/>
      <color rgb="FFFFFFFF"/>
      <sz val="9"/>
    </font>
    <font>
      <name val="Arial"/>
      <charset val="1"/>
      <family val="0"/>
      <sz val="10"/>
    </font>
    <font>
      <name val="Arial"/>
      <charset val="1"/>
      <family val="0"/>
      <b val="1"/>
      <color rgb="FFC00000"/>
      <sz val="9"/>
    </font>
    <font>
      <name val="Arial"/>
      <charset val="1"/>
      <family val="0"/>
      <color rgb="FF555555"/>
      <sz val="9"/>
    </font>
    <font>
      <name val="Arial"/>
      <charset val="1"/>
      <family val="0"/>
      <b val="1"/>
      <sz val="9"/>
    </font>
    <font>
      <name val="Arial"/>
      <charset val="1"/>
      <family val="0"/>
      <b val="1"/>
      <sz val="8"/>
    </font>
    <font>
      <name val="Arial"/>
      <charset val="1"/>
      <family val="0"/>
      <sz val="8"/>
    </font>
    <font>
      <name val="Arial"/>
      <charset val="1"/>
      <family val="0"/>
      <b val="1"/>
      <color rgb="FF0000FF"/>
      <sz val="9"/>
    </font>
    <font>
      <name val="Arial"/>
      <charset val="1"/>
      <family val="0"/>
      <color rgb="FF0000FF"/>
      <sz val="8"/>
    </font>
    <font>
      <name val="Arial"/>
      <charset val="1"/>
      <family val="0"/>
      <b val="1"/>
      <color rgb="FFFFFFFF"/>
      <sz val="11"/>
    </font>
    <font>
      <name val="Arial"/>
      <charset val="1"/>
      <family val="0"/>
      <b val="1"/>
      <color rgb="FF1F4E78"/>
      <sz val="10"/>
    </font>
    <font>
      <name val="Arial"/>
      <charset val="1"/>
      <family val="0"/>
      <i val="1"/>
      <color rgb="FF595959"/>
      <sz val="8"/>
    </font>
    <font>
      <name val="Arial"/>
      <charset val="1"/>
      <family val="0"/>
      <b val="1"/>
      <color rgb="FF1F4E79"/>
      <sz val="14"/>
    </font>
    <font>
      <name val="Arial"/>
      <charset val="1"/>
      <family val="0"/>
      <i val="1"/>
      <color rgb="FF595959"/>
      <sz val="9"/>
    </font>
    <font>
      <name val="Arial"/>
      <charset val="1"/>
      <family val="0"/>
      <color rgb="FF000000"/>
      <sz val="9"/>
    </font>
    <font>
      <name val="Arial"/>
      <charset val="1"/>
      <family val="0"/>
      <b val="1"/>
      <color rgb="FF1F4E78"/>
      <sz val="11"/>
    </font>
    <font>
      <name val="Arial"/>
      <charset val="1"/>
      <family val="0"/>
      <color rgb="FFBFBFBF"/>
      <sz val="7"/>
    </font>
    <font>
      <name val="Arial"/>
      <charset val="1"/>
      <family val="0"/>
      <b val="1"/>
      <color rgb="FF000000"/>
      <sz val="20"/>
    </font>
    <font>
      <name val="Arial"/>
      <charset val="1"/>
      <family val="0"/>
      <b val="1"/>
      <sz val="12"/>
    </font>
    <font>
      <name val="Arial"/>
      <charset val="1"/>
      <family val="0"/>
      <color rgb="FF555555"/>
      <sz val="8"/>
    </font>
    <font>
      <name val="Arial"/>
      <charset val="1"/>
      <family val="0"/>
      <i val="1"/>
      <color rgb="FF000000"/>
      <sz val="9"/>
    </font>
    <font>
      <name val="Arial"/>
      <charset val="1"/>
      <family val="0"/>
      <b val="1"/>
      <color rgb="FF000000"/>
      <sz val="11"/>
    </font>
    <font>
      <name val="Arial"/>
      <charset val="1"/>
      <family val="0"/>
      <b val="1"/>
      <color rgb="FF000000"/>
      <sz val="22"/>
    </font>
    <font>
      <name val="Arial"/>
      <sz val="10"/>
    </font>
    <font>
      <name val="Arial"/>
      <color rgb="FF0000FF"/>
      <sz val="10"/>
    </font>
    <font>
      <name val="Arial"/>
      <color rgb="FF555555"/>
      <sz val="9"/>
    </font>
    <font>
      <name val="Georgia"/>
      <b val="1"/>
      <color rgb="001F4E78"/>
      <sz val="14"/>
    </font>
    <font>
      <name val="Arial"/>
      <color rgb="00595959"/>
      <sz val="9"/>
    </font>
    <font>
      <name val="Arial"/>
      <i val="1"/>
      <color rgb="00808080"/>
      <sz val="9"/>
    </font>
    <font>
      <name val="Arial"/>
      <b val="1"/>
      <color rgb="00FFFFFF"/>
      <sz val="10"/>
    </font>
    <font>
      <name val="Arial"/>
      <color rgb="00000000"/>
      <sz val="10"/>
    </font>
    <font>
      <name val="Arial"/>
      <color rgb="000000FF"/>
      <sz val="10"/>
    </font>
    <font>
      <name val="Arial"/>
      <b val="1"/>
      <color rgb="00FFFFFF"/>
      <sz val="9"/>
    </font>
    <font>
      <name val="Arial"/>
      <b val="1"/>
      <color rgb="001F4E78"/>
      <sz val="9"/>
    </font>
    <font>
      <name val="Arial"/>
      <color rgb="00000000"/>
      <sz val="9"/>
    </font>
    <font>
      <name val="Arial"/>
      <color rgb="000000FF"/>
      <sz val="9"/>
    </font>
    <font>
      <name val="Arial"/>
      <color rgb="00808080"/>
      <sz val="8"/>
    </font>
    <font>
      <name val="Arial"/>
      <b val="1"/>
      <color rgb="00000000"/>
      <sz val="9"/>
    </font>
    <font>
      <name val="Georgia"/>
      <b val="1"/>
      <color rgb="00FFFFFF"/>
      <sz val="12"/>
    </font>
    <font>
      <name val="Georgia"/>
      <b val="1"/>
      <color rgb="001F4E78"/>
      <sz val="22"/>
    </font>
    <font>
      <name val="Arial"/>
      <color rgb="00008000"/>
      <sz val="10"/>
    </font>
    <font>
      <name val="Arial"/>
      <i val="1"/>
      <color rgb="00595959"/>
      <sz val="8"/>
    </font>
    <font>
      <name val="Arial"/>
      <b val="1"/>
      <color rgb="001F4E78"/>
      <sz val="8"/>
    </font>
    <font>
      <name val="Arial"/>
      <color rgb="00000000"/>
      <sz val="8"/>
    </font>
    <font>
      <name val="Arial"/>
      <color rgb="00BFBFBF"/>
      <sz val="7"/>
    </font>
    <font>
      <name val="Georgia"/>
      <b val="1"/>
      <color rgb="001F4E78"/>
      <sz val="15"/>
    </font>
    <font>
      <name val="Arial"/>
      <color rgb="001F4E78"/>
      <sz val="8"/>
    </font>
    <font>
      <name val="Arial"/>
      <color rgb="002E75B6"/>
      <sz val="8"/>
    </font>
    <font>
      <name val="Arial"/>
      <b val="1"/>
      <color rgb="001F4E78"/>
      <sz val="12"/>
    </font>
    <font>
      <name val="Arial"/>
      <b val="1"/>
      <color rgb="00000000"/>
      <sz val="10"/>
    </font>
    <font>
      <name val="Arial"/>
      <sz val="9"/>
    </font>
    <font>
      <name val="Arial"/>
      <b val="1"/>
      <color rgb="00B07A12"/>
      <sz val="9"/>
    </font>
    <font>
      <name val="Arial"/>
      <i val="1"/>
      <color rgb="00A6A6A6"/>
      <sz val="9"/>
    </font>
    <font>
      <name val="Arial"/>
      <b val="1"/>
      <color rgb="00B23B2E"/>
      <sz val="10"/>
    </font>
    <font>
      <name val="Arial"/>
      <b val="1"/>
      <color rgb="00B23B2E"/>
      <sz val="9"/>
    </font>
  </fonts>
  <fills count="23">
    <fill>
      <patternFill/>
    </fill>
    <fill>
      <patternFill patternType="gray125"/>
    </fill>
    <fill>
      <patternFill patternType="solid">
        <fgColor rgb="FF1F4E78"/>
        <bgColor rgb="FF1F4E79"/>
      </patternFill>
    </fill>
    <fill>
      <patternFill patternType="solid">
        <fgColor rgb="FFFFF2CC"/>
        <bgColor rgb="FFFCE4D6"/>
      </patternFill>
    </fill>
    <fill>
      <patternFill patternType="solid">
        <fgColor rgb="FF1F4E79"/>
        <bgColor rgb="FF1F4E78"/>
      </patternFill>
    </fill>
    <fill>
      <patternFill patternType="solid">
        <fgColor rgb="FFBDD7EE"/>
        <bgColor rgb="FFC6EFCE"/>
      </patternFill>
    </fill>
    <fill>
      <patternFill patternType="solid">
        <fgColor rgb="FFFFFFFF"/>
        <bgColor rgb="FFF2F2F2"/>
      </patternFill>
    </fill>
    <fill>
      <patternFill patternType="solid">
        <fgColor rgb="FFF2F2F2"/>
        <bgColor rgb="FFFFFFFF"/>
      </patternFill>
    </fill>
    <fill>
      <patternFill patternType="solid">
        <fgColor rgb="FF63BE7B"/>
        <bgColor rgb="FF339966"/>
      </patternFill>
    </fill>
    <fill>
      <patternFill patternType="solid">
        <fgColor rgb="FFFFD966"/>
        <bgColor rgb="FFFFE699"/>
      </patternFill>
    </fill>
    <fill>
      <patternFill patternType="solid">
        <fgColor rgb="FFF4B183"/>
        <bgColor rgb="FFFFC7CE"/>
      </patternFill>
    </fill>
    <fill>
      <patternFill patternType="solid">
        <fgColor rgb="FFFF7C80"/>
        <bgColor rgb="FFF4B183"/>
      </patternFill>
    </fill>
    <fill>
      <patternFill patternType="solid">
        <fgColor rgb="FFA9D08E"/>
        <bgColor rgb="FFBFBFBF"/>
      </patternFill>
    </fill>
    <fill>
      <patternFill patternType="solid">
        <fgColor rgb="FF2E75B6"/>
        <bgColor rgb="FF0066CC"/>
      </patternFill>
    </fill>
    <fill>
      <patternFill patternType="solid">
        <fgColor rgb="FFFCE4D6"/>
        <bgColor rgb="FFFFF2CC"/>
      </patternFill>
    </fill>
    <fill>
      <patternFill patternType="solid">
        <fgColor rgb="FFFFF2CC"/>
      </patternFill>
    </fill>
    <fill>
      <patternFill patternType="solid">
        <fgColor rgb="001F4E78"/>
      </patternFill>
    </fill>
    <fill>
      <patternFill patternType="solid">
        <fgColor rgb="00FFF2CC"/>
      </patternFill>
    </fill>
    <fill>
      <patternFill patternType="solid">
        <fgColor rgb="002E75B6"/>
      </patternFill>
    </fill>
    <fill>
      <patternFill patternType="solid">
        <fgColor rgb="00F2F5F9"/>
      </patternFill>
    </fill>
    <fill>
      <patternFill patternType="solid">
        <fgColor rgb="00FAFBFC"/>
      </patternFill>
    </fill>
    <fill>
      <patternFill patternType="solid">
        <fgColor rgb="00FFFFFF"/>
      </patternFill>
    </fill>
    <fill>
      <patternFill patternType="solid">
        <fgColor rgb="00DDEBF7"/>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border>
      <left style="thin">
        <color rgb="FFBFBFBF"/>
      </left>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5" fillId="0" borderId="0" applyAlignment="1" pivotButton="0" quotePrefix="0" xfId="0">
      <alignment horizontal="left" vertical="center"/>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general"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7" fillId="0" borderId="0" applyAlignment="1" pivotButton="0" quotePrefix="0" xfId="0">
      <alignment horizontal="general" vertical="bottom"/>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0" fontId="16" fillId="0" borderId="0" applyAlignment="1" pivotButton="0" quotePrefix="0" xfId="0">
      <alignment horizontal="general" vertical="bottom"/>
    </xf>
    <xf numFmtId="0" fontId="18" fillId="0" borderId="0" applyAlignment="1" pivotButton="0" quotePrefix="0" xfId="0">
      <alignment horizontal="general" vertical="bottom"/>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28" fillId="0" borderId="0" applyAlignment="1" pivotButton="0" quotePrefix="0" xfId="0">
      <alignment horizontal="general" vertical="top" wrapText="1"/>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21" fillId="0" borderId="0" applyAlignment="1" pivotButton="0" quotePrefix="0" xfId="0">
      <alignment horizontal="general" vertical="center"/>
    </xf>
    <xf numFmtId="0" fontId="35" fillId="0" borderId="1" applyAlignment="1" pivotButton="0" quotePrefix="0" xfId="0">
      <alignment horizontal="center" vertical="center"/>
    </xf>
    <xf numFmtId="0" fontId="9" fillId="0" borderId="0" applyAlignment="1" pivotButton="0" quotePrefix="0" xfId="0">
      <alignment horizontal="general"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0" fillId="0" borderId="5" pivotButton="0" quotePrefix="0" xfId="0"/>
    <xf numFmtId="0" fontId="0" fillId="0" borderId="6" pivotButton="0" quotePrefix="0" xfId="0"/>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8" fillId="2" borderId="13" applyAlignment="1" pivotButton="0" quotePrefix="0" xfId="0">
      <alignment horizontal="center" vertical="center" wrapText="1"/>
    </xf>
    <xf numFmtId="0" fontId="41" fillId="15" borderId="13" applyAlignment="1" pivotButton="0" quotePrefix="0" xfId="0">
      <alignment horizontal="left" vertical="top" wrapText="1"/>
    </xf>
    <xf numFmtId="0" fontId="41" fillId="15" borderId="13" applyAlignment="1" pivotButton="0" quotePrefix="0" xfId="0">
      <alignment horizontal="center" vertical="center" wrapText="1"/>
    </xf>
    <xf numFmtId="0" fontId="40" fillId="0" borderId="12" pivotButton="0" quotePrefix="0" xfId="0"/>
    <xf numFmtId="0" fontId="42" fillId="0" borderId="12" applyAlignment="1" pivotButton="0" quotePrefix="0" xfId="0">
      <alignment horizontal="left" vertical="top"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0" fillId="0" borderId="3"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11" pivotButton="0" quotePrefix="0" xfId="0"/>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35" fillId="0" borderId="1" applyAlignment="1" pivotButton="0" quotePrefix="0" xfId="0">
      <alignment horizontal="center"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25" fillId="6" borderId="1" applyAlignment="1" pivotButton="0" quotePrefix="0" xfId="0">
      <alignment vertical="top" wrapText="1"/>
    </xf>
    <xf numFmtId="0" fontId="31" fillId="0" borderId="1" applyAlignment="1" pivotButton="0" quotePrefix="0" xfId="0">
      <alignment vertical="top" wrapText="1"/>
    </xf>
    <xf numFmtId="0" fontId="25" fillId="3" borderId="1" applyAlignment="1" pivotButton="0" quotePrefix="0" xfId="0">
      <alignment vertical="top" wrapText="1"/>
    </xf>
    <xf numFmtId="0" fontId="41" fillId="15" borderId="13" applyAlignment="1" pivotButton="0" quotePrefix="0" xfId="0">
      <alignment vertical="top" wrapText="1"/>
    </xf>
    <xf numFmtId="0" fontId="10" fillId="3" borderId="1" applyAlignment="1" pivotButton="0" quotePrefix="0" xfId="0">
      <alignment vertical="top" wrapText="1"/>
    </xf>
    <xf numFmtId="0" fontId="9" fillId="3" borderId="1" applyAlignment="1" pivotButton="0" quotePrefix="0" xfId="0">
      <alignment vertical="top" wrapText="1"/>
    </xf>
    <xf numFmtId="170" fontId="9" fillId="3" borderId="1" applyAlignment="1" pivotButton="0" quotePrefix="0" xfId="0">
      <alignment horizontal="center" vertical="top"/>
    </xf>
    <xf numFmtId="0" fontId="13" fillId="3" borderId="1" applyAlignment="1" pivotButton="0" quotePrefix="0" xfId="0">
      <alignment vertical="top" wrapText="1"/>
    </xf>
    <xf numFmtId="0" fontId="43" fillId="0" borderId="0" pivotButton="0" quotePrefix="0" xfId="0"/>
    <xf numFmtId="0" fontId="44" fillId="0" borderId="0" pivotButton="0" quotePrefix="0" xfId="0"/>
    <xf numFmtId="0" fontId="45" fillId="0" borderId="0" pivotButton="0" quotePrefix="0" xfId="0"/>
    <xf numFmtId="0" fontId="46" fillId="16" borderId="0" applyAlignment="1" pivotButton="0" quotePrefix="0" xfId="0">
      <alignment vertical="center" indent="1"/>
    </xf>
    <xf numFmtId="0" fontId="47" fillId="0" borderId="0" applyAlignment="1" pivotButton="0" quotePrefix="0" xfId="0">
      <alignment vertical="center" indent="1"/>
    </xf>
    <xf numFmtId="0" fontId="48" fillId="17" borderId="14" applyAlignment="1" pivotButton="0" quotePrefix="0" xfId="0">
      <alignment vertical="center" indent="1"/>
    </xf>
    <xf numFmtId="0" fontId="49" fillId="18" borderId="14" applyAlignment="1" pivotButton="0" quotePrefix="0" xfId="0">
      <alignment horizontal="center" vertical="center"/>
    </xf>
    <xf numFmtId="0" fontId="50" fillId="0" borderId="14" applyAlignment="1" pivotButton="0" quotePrefix="0" xfId="0">
      <alignment horizontal="center" vertical="center"/>
    </xf>
    <xf numFmtId="0" fontId="51" fillId="0" borderId="14" applyAlignment="1" pivotButton="0" quotePrefix="0" xfId="0">
      <alignment vertical="center" indent="1"/>
    </xf>
    <xf numFmtId="0" fontId="52" fillId="17" borderId="14" applyAlignment="1" pivotButton="0" quotePrefix="0" xfId="0">
      <alignment horizontal="center" vertical="center"/>
    </xf>
    <xf numFmtId="0" fontId="51" fillId="0" borderId="14" applyAlignment="1" pivotButton="0" quotePrefix="0" xfId="0">
      <alignment horizontal="center" vertical="center"/>
    </xf>
    <xf numFmtId="2" fontId="51" fillId="19" borderId="14" applyAlignment="1" pivotButton="0" quotePrefix="0" xfId="0">
      <alignment horizontal="center" vertical="center"/>
    </xf>
    <xf numFmtId="2" fontId="51" fillId="0" borderId="14" applyAlignment="1" pivotButton="0" quotePrefix="0" xfId="0">
      <alignment horizontal="center" vertical="center"/>
    </xf>
    <xf numFmtId="0" fontId="53" fillId="0" borderId="14" applyAlignment="1" pivotButton="0" quotePrefix="0" xfId="0">
      <alignment vertical="center" indent="1"/>
    </xf>
    <xf numFmtId="0" fontId="51" fillId="20" borderId="14" applyAlignment="1" pivotButton="0" quotePrefix="0" xfId="0">
      <alignment vertical="center" indent="1"/>
    </xf>
    <xf numFmtId="0" fontId="53" fillId="20" borderId="14" applyAlignment="1" pivotButton="0" quotePrefix="0" xfId="0">
      <alignment vertical="center" indent="1"/>
    </xf>
    <xf numFmtId="171" fontId="51" fillId="0" borderId="14" applyAlignment="1" pivotButton="0" quotePrefix="0" xfId="0">
      <alignment horizontal="center" vertical="center"/>
    </xf>
    <xf numFmtId="0" fontId="54" fillId="0" borderId="0" pivotButton="0" quotePrefix="0" xfId="0"/>
    <xf numFmtId="171" fontId="50" fillId="0" borderId="0" applyAlignment="1" pivotButton="0" quotePrefix="0" xfId="0">
      <alignment horizontal="center" vertical="center"/>
    </xf>
    <xf numFmtId="0" fontId="54" fillId="0" borderId="0" applyAlignment="1" pivotButton="0" quotePrefix="0" xfId="0">
      <alignment horizontal="center" vertical="center"/>
    </xf>
    <xf numFmtId="2" fontId="47" fillId="21" borderId="14" applyAlignment="1" pivotButton="0" quotePrefix="0" xfId="0">
      <alignment vertical="center" indent="1"/>
    </xf>
    <xf numFmtId="0" fontId="47" fillId="21" borderId="14" applyAlignment="1" pivotButton="0" quotePrefix="0" xfId="0">
      <alignment vertical="center" indent="1"/>
    </xf>
    <xf numFmtId="0" fontId="55" fillId="16" borderId="0" applyAlignment="1" pivotButton="0" quotePrefix="0" xfId="0">
      <alignment horizontal="center" vertical="center"/>
    </xf>
    <xf numFmtId="0" fontId="56" fillId="22" borderId="0" applyAlignment="1" pivotButton="0" quotePrefix="0" xfId="0">
      <alignment horizontal="center" vertical="center"/>
    </xf>
    <xf numFmtId="0" fontId="44" fillId="0" borderId="0" applyAlignment="1" pivotButton="0" quotePrefix="0" xfId="0">
      <alignment vertical="top" wrapText="1"/>
    </xf>
    <xf numFmtId="0" fontId="50" fillId="0" borderId="0" pivotButton="0" quotePrefix="0" xfId="0"/>
    <xf numFmtId="0" fontId="50" fillId="0" borderId="14" applyAlignment="1" pivotButton="0" quotePrefix="0" xfId="0">
      <alignment indent="1"/>
    </xf>
    <xf numFmtId="0" fontId="44" fillId="0" borderId="14" applyAlignment="1" pivotButton="0" quotePrefix="0" xfId="0">
      <alignment vertical="center" indent="1"/>
    </xf>
    <xf numFmtId="0" fontId="0" fillId="0" borderId="14" pivotButton="0" quotePrefix="0" xfId="0"/>
    <xf numFmtId="0" fontId="51" fillId="0" borderId="0" applyAlignment="1" pivotButton="0" quotePrefix="0" xfId="0">
      <alignment vertical="center" indent="1"/>
    </xf>
    <xf numFmtId="0" fontId="57" fillId="21" borderId="14" applyAlignment="1" pivotButton="0" quotePrefix="0" xfId="0">
      <alignment vertical="center" indent="1"/>
    </xf>
    <xf numFmtId="0" fontId="51" fillId="19" borderId="14" applyAlignment="1" pivotButton="0" quotePrefix="0" xfId="0">
      <alignment vertical="top" wrapText="1"/>
    </xf>
    <xf numFmtId="0" fontId="58" fillId="0" borderId="0" applyAlignment="1" pivotButton="0" quotePrefix="0" xfId="0">
      <alignment vertical="top" wrapText="1"/>
    </xf>
    <xf numFmtId="2" fontId="54" fillId="0" borderId="14" applyAlignment="1" pivotButton="0" quotePrefix="0" xfId="0">
      <alignment horizontal="center" vertical="center"/>
    </xf>
    <xf numFmtId="0" fontId="53" fillId="0" borderId="0" pivotButton="0" quotePrefix="0" xfId="0"/>
    <xf numFmtId="0" fontId="59" fillId="0" borderId="14" applyAlignment="1" pivotButton="0" quotePrefix="0" xfId="0">
      <alignment horizontal="center" vertical="center"/>
    </xf>
    <xf numFmtId="0" fontId="60" fillId="0" borderId="14" applyAlignment="1" pivotButton="0" quotePrefix="0" xfId="0">
      <alignment horizontal="center" vertical="center"/>
    </xf>
    <xf numFmtId="0" fontId="60" fillId="0" borderId="14" applyAlignment="1" pivotButton="0" quotePrefix="0" xfId="0">
      <alignment vertical="center" indent="1"/>
    </xf>
    <xf numFmtId="0" fontId="61" fillId="0" borderId="14" pivotButton="0" quotePrefix="0" xfId="0"/>
    <xf numFmtId="0" fontId="0" fillId="0" borderId="17" pivotButton="0" quotePrefix="0" xfId="0"/>
    <xf numFmtId="0" fontId="0" fillId="0" borderId="18" pivotButton="0" quotePrefix="0" xfId="0"/>
    <xf numFmtId="0" fontId="0" fillId="0" borderId="15" pivotButton="0" quotePrefix="0" xfId="0"/>
    <xf numFmtId="0" fontId="0" fillId="0" borderId="16" pivotButton="0" quotePrefix="0" xfId="0"/>
    <xf numFmtId="0" fontId="0" fillId="0" borderId="21" pivotButton="0" quotePrefix="0" xfId="0"/>
    <xf numFmtId="0" fontId="0" fillId="0" borderId="22" pivotButton="0" quotePrefix="0" xfId="0"/>
    <xf numFmtId="0" fontId="0" fillId="0" borderId="23" pivotButton="0" quotePrefix="0" xfId="0"/>
    <xf numFmtId="0" fontId="62" fillId="0" borderId="0" pivotButton="0" quotePrefix="0" xfId="0"/>
    <xf numFmtId="0" fontId="63" fillId="0" borderId="14" applyAlignment="1" pivotButton="0" quotePrefix="0" xfId="0">
      <alignment horizontal="center" vertical="center"/>
    </xf>
    <xf numFmtId="0" fontId="52" fillId="17" borderId="14" applyAlignment="1" pivotButton="0" quotePrefix="0" xfId="0">
      <alignment vertical="center" indent="1"/>
    </xf>
    <xf numFmtId="0" fontId="64" fillId="0" borderId="14" applyAlignment="1" pivotButton="0" quotePrefix="0" xfId="0">
      <alignment horizontal="center" vertical="center"/>
    </xf>
    <xf numFmtId="2" fontId="65" fillId="21" borderId="14" applyAlignment="1" pivotButton="0" quotePrefix="0" xfId="0">
      <alignment horizontal="center" vertical="center"/>
    </xf>
    <xf numFmtId="0" fontId="66" fillId="21" borderId="14" applyAlignment="1" pivotButton="0" quotePrefix="0" xfId="0">
      <alignment horizontal="center" vertical="center"/>
    </xf>
    <xf numFmtId="0" fontId="50" fillId="0" borderId="14" applyAlignment="1" pivotButton="0" quotePrefix="0" xfId="0">
      <alignment vertical="center" indent="1"/>
    </xf>
    <xf numFmtId="0" fontId="49" fillId="18" borderId="14" applyAlignment="1" pivotButton="0" quotePrefix="0" xfId="0">
      <alignment horizontal="center" vertical="center" wrapText="1"/>
    </xf>
    <xf numFmtId="0" fontId="67" fillId="0" borderId="1" applyAlignment="1" pivotButton="0" quotePrefix="0" xfId="0">
      <alignment vertical="center" indent="1"/>
    </xf>
    <xf numFmtId="0" fontId="67" fillId="0" borderId="0" applyAlignment="1" pivotButton="0" quotePrefix="0" xfId="0">
      <alignment vertical="center" indent="1"/>
    </xf>
    <xf numFmtId="0" fontId="50" fillId="0" borderId="0" applyAlignment="1" pivotButton="0" quotePrefix="0" xfId="0">
      <alignment vertical="center" indent="1"/>
    </xf>
    <xf numFmtId="0" fontId="68" fillId="0" borderId="0" applyAlignment="1" pivotButton="0" quotePrefix="0" xfId="0">
      <alignment horizontal="left" vertical="center"/>
    </xf>
    <xf numFmtId="0" fontId="69" fillId="3" borderId="1" applyAlignment="1" pivotButton="0" quotePrefix="0" xfId="0">
      <alignment vertical="top" wrapText="1"/>
    </xf>
    <xf numFmtId="0" fontId="68" fillId="0" borderId="0" pivotButton="0" quotePrefix="0" xfId="0"/>
    <xf numFmtId="0" fontId="70" fillId="0" borderId="0" applyAlignment="1" pivotButton="0" quotePrefix="0" xfId="0">
      <alignment horizontal="center" vertical="center"/>
    </xf>
    <xf numFmtId="0" fontId="71"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6100"/>
      <rgbColor rgb="FF000080"/>
      <rgbColor rgb="FF548235"/>
      <rgbColor rgb="FF800080"/>
      <rgbColor rgb="FF008080"/>
      <rgbColor rgb="FFBFBFBF"/>
      <rgbColor rgb="FF808080"/>
      <rgbColor rgb="FF9999FF"/>
      <rgbColor rgb="FF993366"/>
      <rgbColor rgb="FFFFF2CC"/>
      <rgbColor rgb="FFF2F2F2"/>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CE4D6"/>
      <rgbColor rgb="FFC6EFCE"/>
      <rgbColor rgb="FFFFEB9C"/>
      <rgbColor rgb="FFA9D08E"/>
      <rgbColor rgb="FFF4B183"/>
      <rgbColor rgb="FFCC99FF"/>
      <rgbColor rgb="FFFFC7CE"/>
      <rgbColor rgb="FF2E75B6"/>
      <rgbColor rgb="FF63BE7B"/>
      <rgbColor rgb="FF99CC00"/>
      <rgbColor rgb="FFFFC000"/>
      <rgbColor rgb="FFFF9900"/>
      <rgbColor rgb="FFFF6600"/>
      <rgbColor rgb="FF595959"/>
      <rgbColor rgb="FF969696"/>
      <rgbColor rgb="FF1F4E78"/>
      <rgbColor rgb="FF339966"/>
      <rgbColor rgb="FF003300"/>
      <rgbColor rgb="FF333300"/>
      <rgbColor rgb="FF993300"/>
      <rgbColor rgb="FF993366"/>
      <rgbColor rgb="FF1F4E7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filterMode="0">
    <tabColor rgb="FF1F4E79"/>
    <outlinePr summaryBelow="1" summaryRight="1"/>
    <pageSetUpPr fitToPage="0"/>
  </sheetPr>
  <dimension ref="B2:F4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0" customWidth="1" style="172" min="2" max="2"/>
    <col width="44" customWidth="1" style="172" min="3" max="3"/>
    <col width="28" customWidth="1" style="172" min="4" max="4"/>
    <col width="20" customWidth="1" style="172" min="5" max="5"/>
    <col width="18" customWidth="1" style="172" min="6" max="6"/>
  </cols>
  <sheetData>
    <row r="2" ht="21.75" customHeight="1" s="173">
      <c r="B2" s="174" t="inlineStr">
        <is>
          <t>HERRAMIENTA DE EVALUACIÓN DE RIESGO EBR · ACTIVIDADES VULNERABLES (LFPIORPI)</t>
        </is>
      </c>
    </row>
    <row r="3" ht="15" customHeight="1" s="173">
      <c r="B3" s="175" t="inlineStr">
        <is>
          <t>Determina tu riesgo inherente y residual conforme a las Reglas (Cap. II Quáter y III Bis/III Ter), la Guía CNBV y GAFILAT.</t>
        </is>
      </c>
    </row>
    <row r="4" ht="15" customHeight="1" s="173">
      <c r="B4" s="411" t="inlineStr">
        <is>
          <t>PLANTILLA EN BLANCO. Lista para tus datos. Lo único que se conservó del ejemplo son los PESOS de A1 y el catálogo de VARIABLES: son un punto de partida para que no arranques de cero, y hay que ajustarlos y justificarlos con tu propia operación.</t>
        </is>
      </c>
    </row>
    <row r="5" ht="15" customHeight="1" s="173">
      <c r="B5" s="177" t="inlineStr">
        <is>
          <t>Paso 1 de 10  ·  Configura antes en PARÁMETROS  ·  Sigue: A9 secciones 1 y 2 (ENR y conciliación), y luego A1</t>
        </is>
      </c>
    </row>
    <row r="6" ht="15" customHeight="1" s="173">
      <c r="B6" s="178" t="inlineStr">
        <is>
          <t>CÓMO USAR</t>
        </is>
      </c>
      <c r="C6" s="179" t="n"/>
      <c r="D6" s="179" t="n"/>
      <c r="E6" s="179" t="n"/>
      <c r="F6" s="180" t="n"/>
    </row>
    <row r="7" ht="15" customHeight="1" s="173">
      <c r="B7" s="408" t="inlineStr">
        <is>
          <t>1. Abre primero PARÁMETROS: actualiza el valor de la UMA y declara tu nivel de tolerancia al riesgo. Se hace una vez al año.</t>
        </is>
      </c>
      <c r="C7" s="179" t="n"/>
      <c r="D7" s="179" t="n"/>
      <c r="E7" s="179" t="n"/>
      <c r="F7" s="180" t="n"/>
    </row>
    <row r="8" ht="15" customHeight="1" s="173">
      <c r="B8" s="408" t="inlineStr">
        <is>
          <t>2. Aquí en INICIO elige tu Actividad Vulnerable —se precargan tus umbrales— y captura los datos de tu entidad y las tres cifras de doce meses (Art. 10 Septies 2, fr. II).</t>
        </is>
      </c>
      <c r="C8" s="179" t="n"/>
      <c r="D8" s="179" t="n"/>
      <c r="E8" s="179" t="n"/>
      <c r="F8" s="180" t="n"/>
    </row>
    <row r="9" ht="27.75" customHeight="1" s="173">
      <c r="B9" s="408" t="inlineStr">
        <is>
          <t>3. Ve a «A9» secciones 1 y 2 ANTES de capturar nada: la Evaluación Nacional de Riesgos que tomaste en cuenta, y la conciliación de tus tres cifras contra tu mecanismo automatizado.</t>
        </is>
      </c>
      <c r="C9" s="179" t="n"/>
      <c r="D9" s="179" t="n"/>
      <c r="E9" s="179" t="n"/>
      <c r="F9" s="180" t="n"/>
    </row>
    <row r="10" ht="15" customHeight="1" s="173">
      <c r="B10" s="408" t="inlineStr">
        <is>
          <t>4. En «A1 EXPOSICION» reparte 100% entre Alto/Medio/Bajo en cada indicador y asigna los dos pesos —el del indicador y el del elemento— con su justificación escrita. En «A2» describe qué pasaría si el riesgo se materializa.</t>
        </is>
      </c>
      <c r="C10" s="179" t="n"/>
      <c r="D10" s="179" t="n"/>
      <c r="E10" s="179" t="n"/>
      <c r="F10" s="180" t="n"/>
    </row>
    <row r="11" ht="27.75" customHeight="1" s="173">
      <c r="B11" s="408" t="inlineStr">
        <is>
          <t>5. Revisa el inherente en «A3». En «A4 CONTROLES MINIMOS» califica las 14 obligaciones del Manual (Art. 37 Bis) y anota numeral y evidencia: sin los dos, la obligación cuenta cero. Los controles extra van en «A4 BIS».</t>
        </is>
      </c>
      <c r="C11" s="179" t="n"/>
      <c r="D11" s="179" t="n"/>
      <c r="E11" s="179" t="n"/>
      <c r="F11" s="180" t="n"/>
    </row>
    <row r="12" ht="27.75" customHeight="1" s="173">
      <c r="B12" s="408" t="inlineStr">
        <is>
          <t>6. Lee el residual en «A5» y el resumen en «A6». Cierra en «A8» (tolerancia, fecha de revisión y plan de acción) y en «A9» secciones 3 a 7 (aprobación, plazos y conservación).</t>
        </is>
      </c>
      <c r="C12" s="179" t="n"/>
      <c r="D12" s="179" t="n"/>
      <c r="E12" s="179" t="n"/>
      <c r="F12" s="180" t="n"/>
    </row>
    <row r="13">
      <c r="B13" s="409" t="inlineStr">
        <is>
          <t>7. APARTE, para clasificar clientes: «PRODUCTOS» con lo que ofreces, «VARIABLES» como catálogo, y «B CLIENTE» uno por uno. Es otra obligación (Art. 23 Bis). Y antes de cada lanzamiento, una ficha en «A7».</t>
        </is>
      </c>
    </row>
    <row r="14" ht="15" customHeight="1" s="173">
      <c r="B14" s="178" t="inlineStr">
        <is>
          <t>LEYENDA</t>
        </is>
      </c>
      <c r="C14" s="179" t="n"/>
      <c r="D14" s="179" t="n"/>
      <c r="E14" s="179" t="n"/>
      <c r="F14" s="180" t="n"/>
    </row>
    <row r="15" ht="15" customHeight="1" s="173">
      <c r="B15" s="182" t="inlineStr">
        <is>
          <t>Amarillo = tú capturas</t>
        </is>
      </c>
      <c r="C15" s="183" t="inlineStr">
        <is>
          <t>Verde = viene de otra hoja</t>
        </is>
      </c>
      <c r="D15" s="184" t="inlineStr">
        <is>
          <t>Negro = se calcula solo</t>
        </is>
      </c>
      <c r="E15" s="179" t="n"/>
      <c r="F15" s="180" t="n"/>
    </row>
    <row r="16" ht="15" customHeight="1" s="173">
      <c r="B16" s="185" t="inlineStr">
        <is>
          <t>Texto azul = dato de ejemplo: sustitúyelo</t>
        </is>
      </c>
      <c r="C16" s="172" t="inlineStr">
        <is>
          <t>Gris = referencia fija: no se edita</t>
        </is>
      </c>
      <c r="D16" s="186" t="inlineStr">
        <is>
          <t>Texto rojo = aviso · Relleno azul = resultado clave</t>
        </is>
      </c>
    </row>
    <row r="17" ht="15" customHeight="1" s="173">
      <c r="B17" s="178" t="inlineStr">
        <is>
          <t>PASO 1 · SELECCIONA TU ACTIVIDAD VULNERABLE</t>
        </is>
      </c>
      <c r="C17" s="179" t="n"/>
      <c r="D17" s="179" t="n"/>
      <c r="E17" s="179" t="n"/>
      <c r="F17" s="180" t="n"/>
    </row>
    <row r="18" ht="15" customHeight="1" s="173">
      <c r="B18" s="187" t="inlineStr">
        <is>
          <t>Actividad Vulnerable:</t>
        </is>
      </c>
      <c r="C18" s="182" t="inlineStr">
        <is>
          <t>V - Construcción/comercialización inmuebles</t>
        </is>
      </c>
      <c r="D18" s="179" t="n"/>
      <c r="E18" s="179" t="n"/>
      <c r="F18" s="180" t="n"/>
    </row>
    <row r="19" ht="15" customHeight="1" s="173">
      <c r="B19" s="187" t="inlineStr">
        <is>
          <t>Fracción Art. 17:</t>
        </is>
      </c>
      <c r="C19" s="188">
        <f>IFERROR(INDEX(CATALOGO!$C$6:$C$35,MATCH($C$18,CATALOGO!$E$6:$E$35,0)),"")</f>
        <v/>
      </c>
    </row>
    <row r="20" ht="15" customHeight="1" s="173">
      <c r="B20" s="187" t="inlineStr">
        <is>
          <t>Umbral de identificación (UMA):</t>
        </is>
      </c>
      <c r="C20" s="189">
        <f>IFERROR(INDEX(CATALOGO!$F$6:$F$35,MATCH($C$18,CATALOGO!$E$6:$E$35,0)),"")</f>
        <v/>
      </c>
      <c r="D20" s="187" t="inlineStr">
        <is>
          <t>Umbral de aviso (UMA):</t>
        </is>
      </c>
      <c r="E20" s="189">
        <f>IFERROR(INDEX(CATALOGO!$G$6:$G$35,MATCH($C$18,CATALOGO!$E$6:$E$35,0)),"")</f>
        <v/>
      </c>
    </row>
    <row r="21" ht="15" customHeight="1" s="173">
      <c r="B21" s="187" t="inlineStr">
        <is>
          <t>Umbral de identificación (MXN):</t>
        </is>
      </c>
      <c r="C21" s="190">
        <f>IFERROR(INDEX(CATALOGO!$H$6:$H$35,MATCH($C$18,CATALOGO!$E$6:$E$35,0)),"")</f>
        <v/>
      </c>
      <c r="D21" s="187" t="inlineStr">
        <is>
          <t>Umbral de aviso (MXN):</t>
        </is>
      </c>
      <c r="E21" s="190">
        <f>IFERROR(INDEX(CATALOGO!$I$6:$I$35,MATCH($C$18,CATALOGO!$E$6:$E$35,0)),"")</f>
        <v/>
      </c>
    </row>
    <row r="23" ht="15" customHeight="1" s="173">
      <c r="B23" s="178" t="inlineStr">
        <is>
          <t>PASO 2 · DATOS DE LA ENTIDAD</t>
        </is>
      </c>
      <c r="C23" s="179" t="n"/>
      <c r="D23" s="179" t="n"/>
      <c r="E23" s="179" t="n"/>
      <c r="F23" s="180" t="n"/>
    </row>
    <row r="24" ht="15" customHeight="1" s="173">
      <c r="B24" s="187" t="inlineStr">
        <is>
          <t>Denominación o razón social:</t>
        </is>
      </c>
      <c r="C24" s="182" t="n"/>
      <c r="D24" s="179" t="n"/>
      <c r="E24" s="179" t="n"/>
      <c r="F24" s="180" t="n"/>
    </row>
    <row r="25" ht="15" customHeight="1" s="173">
      <c r="B25" s="187" t="inlineStr">
        <is>
          <t>Nombre corto o comercial:</t>
        </is>
      </c>
      <c r="C25" s="182" t="n"/>
      <c r="D25" s="179" t="n"/>
      <c r="E25" s="179" t="n"/>
      <c r="F25" s="180" t="n"/>
    </row>
    <row r="26" ht="23.25" customHeight="1" s="173">
      <c r="B26" s="187" t="inlineStr">
        <is>
          <t>Representante / Encargado de Cumplimiento:</t>
        </is>
      </c>
      <c r="C26" s="182" t="n"/>
      <c r="D26" s="179" t="n"/>
      <c r="E26" s="179" t="n"/>
      <c r="F26" s="180" t="n"/>
    </row>
    <row r="27" ht="15" customHeight="1" s="173">
      <c r="B27" s="187" t="inlineStr">
        <is>
          <t>Fecha de la evaluación:</t>
        </is>
      </c>
      <c r="C27" s="191" t="n"/>
      <c r="D27" s="179" t="n"/>
      <c r="E27" s="179" t="n"/>
      <c r="F27" s="180" t="n"/>
    </row>
    <row r="28" ht="15" customHeight="1" s="173">
      <c r="B28" s="187" t="inlineStr">
        <is>
          <t>Periodo analizado (inicio):</t>
        </is>
      </c>
      <c r="C28" s="191" t="n"/>
      <c r="D28" s="179" t="n"/>
      <c r="E28" s="179" t="n"/>
      <c r="F28" s="180" t="n"/>
    </row>
    <row r="29" ht="23.25" customHeight="1" s="173">
      <c r="B29" s="187" t="inlineStr">
        <is>
          <t>Periodo analizado (fin, mín. 12 meses):</t>
        </is>
      </c>
      <c r="C29" s="191" t="n"/>
      <c r="D29" s="179" t="n"/>
      <c r="E29" s="179" t="n"/>
      <c r="F29" s="180" t="n"/>
    </row>
    <row r="31" ht="15" customHeight="1" s="173">
      <c r="B31" s="178" t="inlineStr">
        <is>
          <t>PASO 3 · DATOS DE 12 MESES (base de la evaluación, Art. 10 Septies 2)</t>
        </is>
      </c>
      <c r="C31" s="179" t="n"/>
      <c r="D31" s="179" t="n"/>
      <c r="E31" s="179" t="n"/>
      <c r="F31" s="180" t="n"/>
    </row>
    <row r="32" ht="23.25" customHeight="1" s="173">
      <c r="B32" s="187" t="inlineStr">
        <is>
          <t>Número total de Clientes/Usuarias:</t>
        </is>
      </c>
      <c r="C32" s="192" t="n"/>
    </row>
    <row r="33" ht="23.25" customHeight="1" s="173">
      <c r="B33" s="187" t="inlineStr">
        <is>
          <t>Número total de actos u operaciones:</t>
        </is>
      </c>
      <c r="C33" s="192" t="n"/>
    </row>
    <row r="34" ht="15" customHeight="1" s="173">
      <c r="B34" s="187" t="inlineStr">
        <is>
          <t>Monto total operado (MXN):</t>
        </is>
      </c>
      <c r="C34" s="193" t="n"/>
    </row>
    <row r="36" ht="15" customHeight="1" s="173">
      <c r="B36" s="175" t="inlineStr">
        <is>
          <t>Revisa y actualiza al menos cada 12 meses o al actualizarse la ENR. Conserva la documentación 10 años.</t>
        </is>
      </c>
    </row>
    <row r="38" ht="15" customHeight="1" s="173">
      <c r="B38" s="194" t="inlineStr">
        <is>
          <t>ESTADO DE AVANCE — REVÍSALO ANTES DE IMPRIMIR, FIRMAR O ENTREGAR</t>
        </is>
      </c>
    </row>
    <row r="39" ht="15" customHeight="1" s="173">
      <c r="B39" s="195" t="inlineStr">
        <is>
          <t>Verificación</t>
        </is>
      </c>
      <c r="E39" s="195" t="inlineStr">
        <is>
          <t>Dato</t>
        </is>
      </c>
      <c r="F39" s="195" t="inlineStr">
        <is>
          <t>Estatus</t>
        </is>
      </c>
    </row>
    <row r="40" ht="15" customHeight="1" s="173">
      <c r="B40" s="196" t="inlineStr">
        <is>
          <t>Indicadores cuyo reparto Alto/Medio/Bajo no suma 100%</t>
        </is>
      </c>
      <c r="E40" s="197">
        <f>SUMPRODUCT(--('A1 EXPOSICION'!$G$7:$G$31="Sí"),--(ABS('A1 EXPOSICION'!$N$7:$N$31-1)&gt;0.001))</f>
        <v/>
      </c>
      <c r="F40" s="198">
        <f>IF(E40=0,"OK","Corregir")</f>
        <v/>
      </c>
    </row>
    <row r="41" ht="15" customHeight="1" s="173">
      <c r="B41" s="196" t="inlineStr">
        <is>
          <t>Suma de los pesos de los cuatro elementos (debe ser 100%)</t>
        </is>
      </c>
      <c r="E41" s="199">
        <f>'A1 EXPOSICION'!$D$40</f>
        <v/>
      </c>
      <c r="F41" s="198">
        <f>IF(ABS(E41-1)&lt;=0.001,"OK","Corregir")</f>
        <v/>
      </c>
    </row>
    <row r="42" ht="15" customHeight="1" s="173">
      <c r="B42" s="196" t="inlineStr">
        <is>
          <t>Indicadores excluidos sin justificación escrita</t>
        </is>
      </c>
      <c r="E42" s="197">
        <f>'A1 EXPOSICION'!$E$45</f>
        <v/>
      </c>
      <c r="F42" s="198">
        <f>IF(E42=0,"OK","Corregir")</f>
        <v/>
      </c>
    </row>
    <row r="43" ht="15" customHeight="1" s="173">
      <c r="B43" s="196" t="inlineStr">
        <is>
          <t>Obligaciones del catálogo sin calificar</t>
        </is>
      </c>
      <c r="E43" s="197">
        <f>'A4 CONTROLES MINIMOS'!$F$36</f>
        <v/>
      </c>
      <c r="F43" s="198">
        <f>IF(E43=0,"OK","Corregir")</f>
        <v/>
      </c>
    </row>
    <row r="44" ht="15" customHeight="1" s="173">
      <c r="B44" s="196" t="inlineStr">
        <is>
          <t>Obligaciones del catálogo en «No cumple»</t>
        </is>
      </c>
      <c r="E44" s="197">
        <f>'A4 CONTROLES MINIMOS'!$F$33</f>
        <v/>
      </c>
      <c r="F44" s="198">
        <f>IF(E44=0,"OK","Corregir")</f>
        <v/>
      </c>
    </row>
    <row r="45" ht="15" customHeight="1" s="173">
      <c r="B45" s="196" t="inlineStr">
        <is>
          <t>Exclusiones del catálogo sin constancia en el Manual</t>
        </is>
      </c>
      <c r="E45" s="197">
        <f>'A4 CONTROLES MINIMOS'!$F$34</f>
        <v/>
      </c>
      <c r="F45" s="198">
        <f>IF(E45=0,"OK","Corregir")</f>
        <v/>
      </c>
    </row>
    <row r="46" ht="15" customHeight="1" s="173">
      <c r="B46" s="196" t="inlineStr">
        <is>
          <t>Datos obligatorios pendientes en la constancia A9</t>
        </is>
      </c>
      <c r="E46" s="197">
        <f>'A9 CONSTANCIA Y FUENTES'!$D$6</f>
        <v/>
      </c>
      <c r="F46" s="198">
        <f>IF(E46=0,"OK","Corregir")</f>
        <v/>
      </c>
    </row>
    <row r="48" ht="32.8" customHeight="1" s="173">
      <c r="B48" s="200">
        <f>IF(AND(E40=0,ABS(E41-1)&lt;=0.001,E42=0,E43=0,E44=0,E45=0,E46=0),"Evaluación completa: puede imprimirse, aprobarse y conservarse diez años.","Hay verificaciones en «Corregir». La evaluación calcula, pero todavía no es defendible ante un requerimiento.")</f>
        <v/>
      </c>
    </row>
  </sheetData>
  <mergeCells count="20">
    <mergeCell ref="B7:F7"/>
    <mergeCell ref="B31:F31"/>
    <mergeCell ref="C28:F28"/>
    <mergeCell ref="C18:F18"/>
    <mergeCell ref="B12:F12"/>
    <mergeCell ref="B11:F11"/>
    <mergeCell ref="B23:F23"/>
    <mergeCell ref="B14:F14"/>
    <mergeCell ref="C24:F24"/>
    <mergeCell ref="B8:F8"/>
    <mergeCell ref="D15:F15"/>
    <mergeCell ref="B17:F17"/>
    <mergeCell ref="B10:F10"/>
    <mergeCell ref="C26:F26"/>
    <mergeCell ref="C29:F29"/>
    <mergeCell ref="C25:F25"/>
    <mergeCell ref="B9:F9"/>
    <mergeCell ref="B6:F6"/>
    <mergeCell ref="B36:F36"/>
    <mergeCell ref="C27:F27"/>
  </mergeCells>
  <dataValidations count="1">
    <dataValidation sqref="C18" showDropDown="0" showInputMessage="0" showErrorMessage="0" allowBlank="0" type="list" errorStyle="stop" operator="between">
      <formula1>CATALOGO!$E$6:$E$35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C000"/>
    <outlinePr summaryBelow="1" summaryRight="1"/>
    <pageSetUpPr fitToPage="0"/>
  </sheetPr>
  <dimension ref="B2:S46"/>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4" customWidth="1" style="172" min="3" max="3"/>
    <col width="30" customWidth="1" style="172" min="4" max="4"/>
    <col width="9" customWidth="1" style="172" min="5" max="5"/>
    <col width="7" customWidth="1" style="172" min="6" max="7"/>
    <col width="30" customWidth="1" style="172" min="8" max="10"/>
    <col width="7" customWidth="1" style="172" min="11" max="17"/>
    <col width="8" customWidth="1" style="172" min="18" max="18"/>
    <col width="34" customWidth="1" style="172" min="19" max="19"/>
  </cols>
  <sheetData>
    <row r="2" ht="21.75" customHeight="1" s="173">
      <c r="B2" s="201" t="inlineStr">
        <is>
          <t>A1 · EXPOSICIÓN — Captura tu concentración de negocio (12 meses)</t>
        </is>
      </c>
    </row>
    <row r="3" ht="15" customHeight="1" s="173">
      <c r="B3" s="202" t="inlineStr">
        <is>
          <t>Por cada indicador reparte el 100% entre Alto/Medio/Bajo. Calificación = qué tan riesgoso; Concentración = qué tan expuesto; Riesgo = Calif × Conc. Un indicador en «No» sale del numerador y del denominador.</t>
        </is>
      </c>
    </row>
    <row r="4" ht="15" customHeight="1" s="173">
      <c r="B4" s="177" t="inlineStr">
        <is>
          <t>Paso 3 de 10  ·  Viene de: A9 §1 y §2  ·  Sigue: A2 CONSECUENCIAS</t>
        </is>
      </c>
    </row>
    <row r="6" ht="27.75" customHeight="1" s="173">
      <c r="B6" s="178" t="inlineStr">
        <is>
          <t>Elem.</t>
        </is>
      </c>
      <c r="C6" s="178" t="inlineStr">
        <is>
          <t>#</t>
        </is>
      </c>
      <c r="D6" s="178" t="inlineStr">
        <is>
          <t>Indicador</t>
        </is>
      </c>
      <c r="E6" s="178" t="inlineStr">
        <is>
          <t>Atiende</t>
        </is>
      </c>
      <c r="F6" s="178" t="inlineStr">
        <is>
          <t>Fuente</t>
        </is>
      </c>
      <c r="G6" s="178" t="inlineStr">
        <is>
          <t>Aplica</t>
        </is>
      </c>
      <c r="H6" s="178" t="inlineStr">
        <is>
          <t>Guía ALTO</t>
        </is>
      </c>
      <c r="I6" s="178" t="inlineStr">
        <is>
          <t>Guía MEDIO</t>
        </is>
      </c>
      <c r="J6" s="178" t="inlineStr">
        <is>
          <t>Guía BAJO</t>
        </is>
      </c>
      <c r="K6" s="178" t="inlineStr">
        <is>
          <t>% Alto</t>
        </is>
      </c>
      <c r="L6" s="178" t="inlineStr">
        <is>
          <t>% Medio</t>
        </is>
      </c>
      <c r="M6" s="178" t="inlineStr">
        <is>
          <t>% Bajo</t>
        </is>
      </c>
      <c r="N6" s="178" t="inlineStr">
        <is>
          <t>Suma</t>
        </is>
      </c>
      <c r="O6" s="178" t="inlineStr">
        <is>
          <t>Peso (relativo dentro del elemento)</t>
        </is>
      </c>
      <c r="P6" s="178" t="inlineStr">
        <is>
          <t>Calif.</t>
        </is>
      </c>
      <c r="Q6" s="178" t="inlineStr">
        <is>
          <t>Conc.</t>
        </is>
      </c>
      <c r="R6" s="178" t="inlineStr">
        <is>
          <t>Riesgo</t>
        </is>
      </c>
      <c r="S6" s="178" t="inlineStr">
        <is>
          <t>Justificación (del No aplica o del peso)</t>
        </is>
      </c>
    </row>
    <row r="7" ht="45.75" customHeight="1" s="173">
      <c r="B7" s="203" t="n">
        <v>1</v>
      </c>
      <c r="C7" s="204" t="n">
        <v>1</v>
      </c>
      <c r="D7" s="205" t="inlineStr">
        <is>
          <t>Valor del producto o servicio</t>
        </is>
      </c>
      <c r="E7" s="204" t="n"/>
      <c r="F7" s="206" t="inlineStr">
        <is>
          <t>B</t>
        </is>
      </c>
      <c r="G7" s="207" t="inlineStr">
        <is>
          <t>Sí</t>
        </is>
      </c>
      <c r="H7" s="208">
        <f>IFERROR(INDEX(BASE!$E:$E,MATCH(INICIO!$C$18&amp;"-"&amp;$C7,BASE!$A:$A,0)),"")</f>
        <v/>
      </c>
      <c r="I7" s="208">
        <f>IFERROR(INDEX(BASE!$F:$F,MATCH(INICIO!$C$18&amp;"-"&amp;$C7,BASE!$A:$A,0)),"")</f>
        <v/>
      </c>
      <c r="J7" s="208">
        <f>IFERROR(INDEX(BASE!$G:$G,MATCH(INICIO!$C$18&amp;"-"&amp;$C7,BASE!$A:$A,0)),"")</f>
        <v/>
      </c>
      <c r="K7" s="209" t="n"/>
      <c r="L7" s="209" t="n"/>
      <c r="M7" s="209" t="n"/>
      <c r="N7" s="210">
        <f>K7+L7+M7</f>
        <v/>
      </c>
      <c r="O7" s="209" t="n">
        <v>0.3</v>
      </c>
      <c r="P7" s="211">
        <f>IF($G7="No",0,ROUND(5*K7+3*L7+1*M7,0))</f>
        <v/>
      </c>
      <c r="Q7" s="211">
        <f>IF($G7="No",0,ROUND(1+4*(K7+L7),0))</f>
        <v/>
      </c>
      <c r="R7" s="211">
        <f>P7*Q7</f>
        <v/>
      </c>
      <c r="S7" s="346" t="n"/>
    </row>
    <row r="8" ht="45.75" customHeight="1" s="173">
      <c r="B8" s="203" t="n">
        <v>1</v>
      </c>
      <c r="C8" s="204" t="n">
        <v>2</v>
      </c>
      <c r="D8" s="205" t="inlineStr">
        <is>
          <t>Liquidez / convertibilidad</t>
        </is>
      </c>
      <c r="E8" s="204" t="n"/>
      <c r="F8" s="206" t="inlineStr">
        <is>
          <t>B</t>
        </is>
      </c>
      <c r="G8" s="207" t="inlineStr">
        <is>
          <t>Sí</t>
        </is>
      </c>
      <c r="H8" s="208">
        <f>IFERROR(INDEX(BASE!$E:$E,MATCH(INICIO!$C$18&amp;"-"&amp;$C8,BASE!$A:$A,0)),"")</f>
        <v/>
      </c>
      <c r="I8" s="208">
        <f>IFERROR(INDEX(BASE!$F:$F,MATCH(INICIO!$C$18&amp;"-"&amp;$C8,BASE!$A:$A,0)),"")</f>
        <v/>
      </c>
      <c r="J8" s="208">
        <f>IFERROR(INDEX(BASE!$G:$G,MATCH(INICIO!$C$18&amp;"-"&amp;$C8,BASE!$A:$A,0)),"")</f>
        <v/>
      </c>
      <c r="K8" s="209" t="n"/>
      <c r="L8" s="209" t="n"/>
      <c r="M8" s="209" t="n"/>
      <c r="N8" s="210">
        <f>K8+L8+M8</f>
        <v/>
      </c>
      <c r="O8" s="209" t="n">
        <v>0.1</v>
      </c>
      <c r="P8" s="211">
        <f>IF($G8="No",0,ROUND(5*K8+3*L8+1*M8,0))</f>
        <v/>
      </c>
      <c r="Q8" s="211">
        <f>IF($G8="No",0,ROUND(1+4*(K8+L8),0))</f>
        <v/>
      </c>
      <c r="R8" s="211">
        <f>P8*Q8</f>
        <v/>
      </c>
      <c r="S8" s="346" t="n"/>
    </row>
    <row r="9" ht="45.75" customHeight="1" s="173">
      <c r="B9" s="203" t="n">
        <v>1</v>
      </c>
      <c r="C9" s="204" t="n">
        <v>3</v>
      </c>
      <c r="D9" s="205" t="inlineStr">
        <is>
          <t>Anonimato / identificación del beneficiario</t>
        </is>
      </c>
      <c r="E9" s="204" t="n"/>
      <c r="F9" s="206" t="inlineStr">
        <is>
          <t>B</t>
        </is>
      </c>
      <c r="G9" s="207" t="inlineStr">
        <is>
          <t>Sí</t>
        </is>
      </c>
      <c r="H9" s="208">
        <f>IFERROR(INDEX(BASE!$E:$E,MATCH(INICIO!$C$18&amp;"-"&amp;$C9,BASE!$A:$A,0)),"")</f>
        <v/>
      </c>
      <c r="I9" s="208">
        <f>IFERROR(INDEX(BASE!$F:$F,MATCH(INICIO!$C$18&amp;"-"&amp;$C9,BASE!$A:$A,0)),"")</f>
        <v/>
      </c>
      <c r="J9" s="208">
        <f>IFERROR(INDEX(BASE!$G:$G,MATCH(INICIO!$C$18&amp;"-"&amp;$C9,BASE!$A:$A,0)),"")</f>
        <v/>
      </c>
      <c r="K9" s="209" t="n"/>
      <c r="L9" s="209" t="n"/>
      <c r="M9" s="209" t="n"/>
      <c r="N9" s="210">
        <f>K9+L9+M9</f>
        <v/>
      </c>
      <c r="O9" s="209" t="n">
        <v>0.25</v>
      </c>
      <c r="P9" s="211">
        <f>IF($G9="No",0,ROUND(5*K9+3*L9+1*M9,0))</f>
        <v/>
      </c>
      <c r="Q9" s="211">
        <f>IF($G9="No",0,ROUND(1+4*(K9+L9),0))</f>
        <v/>
      </c>
      <c r="R9" s="211">
        <f>P9*Q9</f>
        <v/>
      </c>
      <c r="S9" s="346" t="n"/>
    </row>
    <row r="10" ht="45.75" customHeight="1" s="173">
      <c r="B10" s="203" t="n">
        <v>1</v>
      </c>
      <c r="C10" s="204" t="n">
        <v>4</v>
      </c>
      <c r="D10" s="205" t="inlineStr">
        <is>
          <t>Transferencia u ocultamiento de valor</t>
        </is>
      </c>
      <c r="E10" s="213" t="inlineStr">
        <is>
          <t>400 Bis</t>
        </is>
      </c>
      <c r="F10" s="206" t="inlineStr">
        <is>
          <t>B</t>
        </is>
      </c>
      <c r="G10" s="214" t="inlineStr">
        <is>
          <t>Sí</t>
        </is>
      </c>
      <c r="H10" s="208">
        <f>IFERROR(INDEX(BASE!$E:$E,MATCH(INICIO!$C$18&amp;"-"&amp;$C10,BASE!$A:$A,0)),"")</f>
        <v/>
      </c>
      <c r="I10" s="208">
        <f>IFERROR(INDEX(BASE!$F:$F,MATCH(INICIO!$C$18&amp;"-"&amp;$C10,BASE!$A:$A,0)),"")</f>
        <v/>
      </c>
      <c r="J10" s="208">
        <f>IFERROR(INDEX(BASE!$G:$G,MATCH(INICIO!$C$18&amp;"-"&amp;$C10,BASE!$A:$A,0)),"")</f>
        <v/>
      </c>
      <c r="K10" s="209" t="n"/>
      <c r="L10" s="209" t="n"/>
      <c r="M10" s="209" t="n"/>
      <c r="N10" s="210">
        <f>K10+L10+M10</f>
        <v/>
      </c>
      <c r="O10" s="209" t="n">
        <v>0.25</v>
      </c>
      <c r="P10" s="211">
        <f>IF($G10="No",0,ROUND(5*K10+3*L10+1*M10,0))</f>
        <v/>
      </c>
      <c r="Q10" s="211">
        <f>IF($G10="No",0,ROUND(1+4*(K10+L10),0))</f>
        <v/>
      </c>
      <c r="R10" s="211">
        <f>P10*Q10</f>
        <v/>
      </c>
      <c r="S10" s="346" t="n"/>
    </row>
    <row r="11" ht="45.75" customHeight="1" s="173">
      <c r="B11" s="203" t="n">
        <v>1</v>
      </c>
      <c r="C11" s="204" t="n">
        <v>5</v>
      </c>
      <c r="D11" s="205" t="inlineStr">
        <is>
          <t>Exposición del acto u operación al financiamiento al terrorismo</t>
        </is>
      </c>
      <c r="E11" s="215" t="inlineStr">
        <is>
          <t>139 Quáter</t>
        </is>
      </c>
      <c r="F11" s="206" t="inlineStr">
        <is>
          <t>B</t>
        </is>
      </c>
      <c r="G11" s="214" t="inlineStr">
        <is>
          <t>Sí</t>
        </is>
      </c>
      <c r="H11" s="208">
        <f>IFERROR(INDEX(BASE!$E:$E,MATCH(INICIO!$C$18&amp;"-"&amp;$C11,BASE!$A:$A,0)),"")</f>
        <v/>
      </c>
      <c r="I11" s="208">
        <f>IFERROR(INDEX(BASE!$F:$F,MATCH(INICIO!$C$18&amp;"-"&amp;$C11,BASE!$A:$A,0)),"")</f>
        <v/>
      </c>
      <c r="J11" s="208">
        <f>IFERROR(INDEX(BASE!$G:$G,MATCH(INICIO!$C$18&amp;"-"&amp;$C11,BASE!$A:$A,0)),"")</f>
        <v/>
      </c>
      <c r="K11" s="209" t="n"/>
      <c r="L11" s="209" t="n"/>
      <c r="M11" s="209" t="n"/>
      <c r="N11" s="210">
        <f>K11+L11+M11</f>
        <v/>
      </c>
      <c r="O11" s="209" t="n">
        <v>0.1</v>
      </c>
      <c r="P11" s="211">
        <f>IF($G11="No",0,ROUND(5*K11+3*L11+1*M11,0))</f>
        <v/>
      </c>
      <c r="Q11" s="211">
        <f>IF($G11="No",0,ROUND(1+4*(K11+L11),0))</f>
        <v/>
      </c>
      <c r="R11" s="211">
        <f>P11*Q11</f>
        <v/>
      </c>
      <c r="S11" s="346" t="n"/>
    </row>
    <row r="12" ht="45.75" customHeight="1" s="173">
      <c r="B12" s="203" t="n">
        <v>2</v>
      </c>
      <c r="C12" s="204" t="n">
        <v>6</v>
      </c>
      <c r="D12" s="205" t="inlineStr">
        <is>
          <t>Tipo de persona y estructura</t>
        </is>
      </c>
      <c r="E12" s="204" t="n"/>
      <c r="F12" s="206" t="inlineStr">
        <is>
          <t>A</t>
        </is>
      </c>
      <c r="G12" s="207" t="inlineStr">
        <is>
          <t>Sí</t>
        </is>
      </c>
      <c r="H12" s="208">
        <f>IFERROR(INDEX(BASE!$E:$E,MATCH(INICIO!$C$18&amp;"-"&amp;$C12,BASE!$A:$A,0)),"")</f>
        <v/>
      </c>
      <c r="I12" s="208">
        <f>IFERROR(INDEX(BASE!$F:$F,MATCH(INICIO!$C$18&amp;"-"&amp;$C12,BASE!$A:$A,0)),"")</f>
        <v/>
      </c>
      <c r="J12" s="208">
        <f>IFERROR(INDEX(BASE!$G:$G,MATCH(INICIO!$C$18&amp;"-"&amp;$C12,BASE!$A:$A,0)),"")</f>
        <v/>
      </c>
      <c r="K12" s="209" t="n"/>
      <c r="L12" s="209" t="n"/>
      <c r="M12" s="209" t="n"/>
      <c r="N12" s="210">
        <f>K12+L12+M12</f>
        <v/>
      </c>
      <c r="O12" s="209" t="n">
        <v>0.18</v>
      </c>
      <c r="P12" s="211">
        <f>IF($G12="No",0,ROUND(5*K12+3*L12+1*M12,0))</f>
        <v/>
      </c>
      <c r="Q12" s="211">
        <f>IF($G12="No",0,ROUND(1+4*(K12+L12),0))</f>
        <v/>
      </c>
      <c r="R12" s="211">
        <f>P12*Q12</f>
        <v/>
      </c>
      <c r="S12" s="346" t="n"/>
    </row>
    <row r="13" ht="45.75" customHeight="1" s="173">
      <c r="B13" s="203" t="n">
        <v>2</v>
      </c>
      <c r="C13" s="204" t="n">
        <v>7</v>
      </c>
      <c r="D13" s="205" t="inlineStr">
        <is>
          <t>Edad / fecha de constitución</t>
        </is>
      </c>
      <c r="E13" s="204" t="n"/>
      <c r="F13" s="206" t="inlineStr">
        <is>
          <t>A</t>
        </is>
      </c>
      <c r="G13" s="207" t="inlineStr">
        <is>
          <t>Sí</t>
        </is>
      </c>
      <c r="H13" s="208">
        <f>IFERROR(INDEX(BASE!$E:$E,MATCH(INICIO!$C$18&amp;"-"&amp;$C13,BASE!$A:$A,0)),"")</f>
        <v/>
      </c>
      <c r="I13" s="208">
        <f>IFERROR(INDEX(BASE!$F:$F,MATCH(INICIO!$C$18&amp;"-"&amp;$C13,BASE!$A:$A,0)),"")</f>
        <v/>
      </c>
      <c r="J13" s="208">
        <f>IFERROR(INDEX(BASE!$G:$G,MATCH(INICIO!$C$18&amp;"-"&amp;$C13,BASE!$A:$A,0)),"")</f>
        <v/>
      </c>
      <c r="K13" s="209" t="n"/>
      <c r="L13" s="209" t="n"/>
      <c r="M13" s="209" t="n"/>
      <c r="N13" s="210">
        <f>K13+L13+M13</f>
        <v/>
      </c>
      <c r="O13" s="209" t="n">
        <v>0.08</v>
      </c>
      <c r="P13" s="211">
        <f>IF($G13="No",0,ROUND(5*K13+3*L13+1*M13,0))</f>
        <v/>
      </c>
      <c r="Q13" s="211">
        <f>IF($G13="No",0,ROUND(1+4*(K13+L13),0))</f>
        <v/>
      </c>
      <c r="R13" s="211">
        <f>P13*Q13</f>
        <v/>
      </c>
      <c r="S13" s="346" t="n"/>
    </row>
    <row r="14" ht="45.75" customHeight="1" s="173">
      <c r="B14" s="203" t="n">
        <v>2</v>
      </c>
      <c r="C14" s="204" t="n">
        <v>8</v>
      </c>
      <c r="D14" s="205" t="inlineStr">
        <is>
          <t>Actividad económica o giro (y fuente de ingresos)</t>
        </is>
      </c>
      <c r="E14" s="204" t="n"/>
      <c r="F14" s="206" t="inlineStr">
        <is>
          <t>A</t>
        </is>
      </c>
      <c r="G14" s="207" t="inlineStr">
        <is>
          <t>Sí</t>
        </is>
      </c>
      <c r="H14" s="208">
        <f>IFERROR(INDEX(BASE!$E:$E,MATCH(INICIO!$C$18&amp;"-"&amp;$C14,BASE!$A:$A,0)),"")</f>
        <v/>
      </c>
      <c r="I14" s="208">
        <f>IFERROR(INDEX(BASE!$F:$F,MATCH(INICIO!$C$18&amp;"-"&amp;$C14,BASE!$A:$A,0)),"")</f>
        <v/>
      </c>
      <c r="J14" s="208">
        <f>IFERROR(INDEX(BASE!$G:$G,MATCH(INICIO!$C$18&amp;"-"&amp;$C14,BASE!$A:$A,0)),"")</f>
        <v/>
      </c>
      <c r="K14" s="209" t="n"/>
      <c r="L14" s="209" t="n"/>
      <c r="M14" s="209" t="n"/>
      <c r="N14" s="210">
        <f>K14+L14+M14</f>
        <v/>
      </c>
      <c r="O14" s="209" t="n">
        <v>0.15</v>
      </c>
      <c r="P14" s="211">
        <f>IF($G14="No",0,ROUND(5*K14+3*L14+1*M14,0))</f>
        <v/>
      </c>
      <c r="Q14" s="211">
        <f>IF($G14="No",0,ROUND(1+4*(K14+L14),0))</f>
        <v/>
      </c>
      <c r="R14" s="211">
        <f>P14*Q14</f>
        <v/>
      </c>
      <c r="S14" s="346" t="n"/>
    </row>
    <row r="15" ht="45.75" customHeight="1" s="173">
      <c r="B15" s="203" t="n">
        <v>2</v>
      </c>
      <c r="C15" s="204" t="n">
        <v>9</v>
      </c>
      <c r="D15" s="205" t="inlineStr">
        <is>
          <t>Nacionalidad del cliente</t>
        </is>
      </c>
      <c r="E15" s="204" t="n"/>
      <c r="F15" s="206" t="inlineStr">
        <is>
          <t>A</t>
        </is>
      </c>
      <c r="G15" s="207" t="inlineStr">
        <is>
          <t>Sí</t>
        </is>
      </c>
      <c r="H15" s="208">
        <f>IFERROR(INDEX(BASE!$E:$E,MATCH(INICIO!$C$18&amp;"-"&amp;$C15,BASE!$A:$A,0)),"")</f>
        <v/>
      </c>
      <c r="I15" s="208">
        <f>IFERROR(INDEX(BASE!$F:$F,MATCH(INICIO!$C$18&amp;"-"&amp;$C15,BASE!$A:$A,0)),"")</f>
        <v/>
      </c>
      <c r="J15" s="208">
        <f>IFERROR(INDEX(BASE!$G:$G,MATCH(INICIO!$C$18&amp;"-"&amp;$C15,BASE!$A:$A,0)),"")</f>
        <v/>
      </c>
      <c r="K15" s="209" t="n"/>
      <c r="L15" s="209" t="n"/>
      <c r="M15" s="209" t="n"/>
      <c r="N15" s="210">
        <f>K15+L15+M15</f>
        <v/>
      </c>
      <c r="O15" s="209" t="n">
        <v>0.07000000000000001</v>
      </c>
      <c r="P15" s="211">
        <f>IF($G15="No",0,ROUND(5*K15+3*L15+1*M15,0))</f>
        <v/>
      </c>
      <c r="Q15" s="211">
        <f>IF($G15="No",0,ROUND(1+4*(K15+L15),0))</f>
        <v/>
      </c>
      <c r="R15" s="211">
        <f>P15*Q15</f>
        <v/>
      </c>
      <c r="S15" s="346" t="n"/>
    </row>
    <row r="16" ht="45.75" customHeight="1" s="173">
      <c r="B16" s="203" t="n">
        <v>2</v>
      </c>
      <c r="C16" s="204" t="n">
        <v>10</v>
      </c>
      <c r="D16" s="205" t="inlineStr">
        <is>
          <t>País (y en su caso, estado) de residencia del cliente</t>
        </is>
      </c>
      <c r="E16" s="204" t="n"/>
      <c r="F16" s="206" t="inlineStr">
        <is>
          <t>A</t>
        </is>
      </c>
      <c r="G16" s="207" t="inlineStr">
        <is>
          <t>Sí</t>
        </is>
      </c>
      <c r="H16" s="208">
        <f>IFERROR(INDEX(BASE!$E:$E,MATCH(INICIO!$C$18&amp;"-"&amp;$C16,BASE!$A:$A,0)),"")</f>
        <v/>
      </c>
      <c r="I16" s="208">
        <f>IFERROR(INDEX(BASE!$F:$F,MATCH(INICIO!$C$18&amp;"-"&amp;$C16,BASE!$A:$A,0)),"")</f>
        <v/>
      </c>
      <c r="J16" s="208">
        <f>IFERROR(INDEX(BASE!$G:$G,MATCH(INICIO!$C$18&amp;"-"&amp;$C16,BASE!$A:$A,0)),"")</f>
        <v/>
      </c>
      <c r="K16" s="209" t="n"/>
      <c r="L16" s="209" t="n"/>
      <c r="M16" s="209" t="n"/>
      <c r="N16" s="210">
        <f>K16+L16+M16</f>
        <v/>
      </c>
      <c r="O16" s="209" t="n">
        <v>0.1</v>
      </c>
      <c r="P16" s="211">
        <f>IF($G16="No",0,ROUND(5*K16+3*L16+1*M16,0))</f>
        <v/>
      </c>
      <c r="Q16" s="211">
        <f>IF($G16="No",0,ROUND(1+4*(K16+L16),0))</f>
        <v/>
      </c>
      <c r="R16" s="211">
        <f>P16*Q16</f>
        <v/>
      </c>
      <c r="S16" s="346" t="n"/>
    </row>
    <row r="17" ht="45.75" customHeight="1" s="173">
      <c r="B17" s="203" t="n">
        <v>2</v>
      </c>
      <c r="C17" s="204" t="n">
        <v>11</v>
      </c>
      <c r="D17" s="205" t="inlineStr">
        <is>
          <t>Condición PEP</t>
        </is>
      </c>
      <c r="E17" s="213" t="inlineStr">
        <is>
          <t>400 Bis</t>
        </is>
      </c>
      <c r="F17" s="206" t="inlineStr">
        <is>
          <t>D</t>
        </is>
      </c>
      <c r="G17" s="214" t="inlineStr">
        <is>
          <t>Sí</t>
        </is>
      </c>
      <c r="H17" s="208">
        <f>IFERROR(INDEX(BASE!$E:$E,MATCH(INICIO!$C$18&amp;"-"&amp;$C17,BASE!$A:$A,0)),"")</f>
        <v/>
      </c>
      <c r="I17" s="208">
        <f>IFERROR(INDEX(BASE!$F:$F,MATCH(INICIO!$C$18&amp;"-"&amp;$C17,BASE!$A:$A,0)),"")</f>
        <v/>
      </c>
      <c r="J17" s="208">
        <f>IFERROR(INDEX(BASE!$G:$G,MATCH(INICIO!$C$18&amp;"-"&amp;$C17,BASE!$A:$A,0)),"")</f>
        <v/>
      </c>
      <c r="K17" s="209" t="n"/>
      <c r="L17" s="209" t="n"/>
      <c r="M17" s="209" t="n"/>
      <c r="N17" s="210">
        <f>K17+L17+M17</f>
        <v/>
      </c>
      <c r="O17" s="209" t="n">
        <v>0.14</v>
      </c>
      <c r="P17" s="211">
        <f>IF($G17="No",0,ROUND(5*K17+3*L17+1*M17,0))</f>
        <v/>
      </c>
      <c r="Q17" s="211">
        <f>IF($G17="No",0,ROUND(1+4*(K17+L17),0))</f>
        <v/>
      </c>
      <c r="R17" s="211">
        <f>P17*Q17</f>
        <v/>
      </c>
      <c r="S17" s="346" t="n"/>
    </row>
    <row r="18" ht="45.75" customHeight="1" s="173">
      <c r="B18" s="203" t="n">
        <v>2</v>
      </c>
      <c r="C18" s="204" t="n">
        <v>12</v>
      </c>
      <c r="D18" s="205" t="inlineStr">
        <is>
          <t>Coincidencia en listas de personas bloqueadas o de sanciones</t>
        </is>
      </c>
      <c r="E18" s="215" t="inlineStr">
        <is>
          <t>139 Quáter</t>
        </is>
      </c>
      <c r="F18" s="206" t="inlineStr">
        <is>
          <t>D</t>
        </is>
      </c>
      <c r="G18" s="214" t="inlineStr">
        <is>
          <t>Sí</t>
        </is>
      </c>
      <c r="H18" s="208">
        <f>IFERROR(INDEX(BASE!$E:$E,MATCH(INICIO!$C$18&amp;"-"&amp;$C18,BASE!$A:$A,0)),"")</f>
        <v/>
      </c>
      <c r="I18" s="208">
        <f>IFERROR(INDEX(BASE!$F:$F,MATCH(INICIO!$C$18&amp;"-"&amp;$C18,BASE!$A:$A,0)),"")</f>
        <v/>
      </c>
      <c r="J18" s="208">
        <f>IFERROR(INDEX(BASE!$G:$G,MATCH(INICIO!$C$18&amp;"-"&amp;$C18,BASE!$A:$A,0)),"")</f>
        <v/>
      </c>
      <c r="K18" s="209" t="n"/>
      <c r="L18" s="209" t="n"/>
      <c r="M18" s="209" t="n"/>
      <c r="N18" s="210">
        <f>K18+L18+M18</f>
        <v/>
      </c>
      <c r="O18" s="209" t="n">
        <v>0.1</v>
      </c>
      <c r="P18" s="211">
        <f>IF($G18="No",0,ROUND(5*K18+3*L18+1*M18,0))</f>
        <v/>
      </c>
      <c r="Q18" s="211">
        <f>IF($G18="No",0,ROUND(1+4*(K18+L18),0))</f>
        <v/>
      </c>
      <c r="R18" s="211">
        <f>P18*Q18</f>
        <v/>
      </c>
      <c r="S18" s="346" t="n"/>
    </row>
    <row r="19" ht="45.75" customHeight="1" s="173">
      <c r="B19" s="203" t="n">
        <v>2</v>
      </c>
      <c r="C19" s="204" t="n">
        <v>13</v>
      </c>
      <c r="D19" s="205" t="inlineStr">
        <is>
          <t>Identificación y complejidad del Beneficiario Controlador</t>
        </is>
      </c>
      <c r="E19" s="213" t="inlineStr">
        <is>
          <t>400 Bis</t>
        </is>
      </c>
      <c r="F19" s="206" t="inlineStr">
        <is>
          <t>A</t>
        </is>
      </c>
      <c r="G19" s="207" t="inlineStr">
        <is>
          <t>Sí</t>
        </is>
      </c>
      <c r="H19" s="208">
        <f>IFERROR(INDEX(BASE!$E:$E,MATCH(INICIO!$C$18&amp;"-"&amp;$C19,BASE!$A:$A,0)),"")</f>
        <v/>
      </c>
      <c r="I19" s="208">
        <f>IFERROR(INDEX(BASE!$F:$F,MATCH(INICIO!$C$18&amp;"-"&amp;$C19,BASE!$A:$A,0)),"")</f>
        <v/>
      </c>
      <c r="J19" s="208">
        <f>IFERROR(INDEX(BASE!$G:$G,MATCH(INICIO!$C$18&amp;"-"&amp;$C19,BASE!$A:$A,0)),"")</f>
        <v/>
      </c>
      <c r="K19" s="209" t="n"/>
      <c r="L19" s="209" t="n"/>
      <c r="M19" s="209" t="n"/>
      <c r="N19" s="210">
        <f>K19+L19+M19</f>
        <v/>
      </c>
      <c r="O19" s="209" t="n">
        <v>0.18</v>
      </c>
      <c r="P19" s="211">
        <f>IF($G19="No",0,ROUND(5*K19+3*L19+1*M19,0))</f>
        <v/>
      </c>
      <c r="Q19" s="211">
        <f>IF($G19="No",0,ROUND(1+4*(K19+L19),0))</f>
        <v/>
      </c>
      <c r="R19" s="211">
        <f>P19*Q19</f>
        <v/>
      </c>
      <c r="S19" s="346" t="n"/>
    </row>
    <row r="20" ht="45.75" customHeight="1" s="173">
      <c r="B20" s="203" t="n">
        <v>3</v>
      </c>
      <c r="C20" s="204" t="n">
        <v>14</v>
      </c>
      <c r="D20" s="205" t="inlineStr">
        <is>
          <t>País / jurisdicción donde se realiza la operación</t>
        </is>
      </c>
      <c r="E20" s="213" t="inlineStr">
        <is>
          <t>400 Bis</t>
        </is>
      </c>
      <c r="F20" s="206" t="inlineStr">
        <is>
          <t>C+D</t>
        </is>
      </c>
      <c r="G20" s="214" t="inlineStr">
        <is>
          <t>Sí</t>
        </is>
      </c>
      <c r="H20" s="208">
        <f>IFERROR(INDEX(BASE!$E:$E,MATCH(INICIO!$C$18&amp;"-"&amp;$C20,BASE!$A:$A,0)),"")</f>
        <v/>
      </c>
      <c r="I20" s="208">
        <f>IFERROR(INDEX(BASE!$F:$F,MATCH(INICIO!$C$18&amp;"-"&amp;$C20,BASE!$A:$A,0)),"")</f>
        <v/>
      </c>
      <c r="J20" s="208">
        <f>IFERROR(INDEX(BASE!$G:$G,MATCH(INICIO!$C$18&amp;"-"&amp;$C20,BASE!$A:$A,0)),"")</f>
        <v/>
      </c>
      <c r="K20" s="209" t="n"/>
      <c r="L20" s="209" t="n"/>
      <c r="M20" s="209" t="n"/>
      <c r="N20" s="210">
        <f>K20+L20+M20</f>
        <v/>
      </c>
      <c r="O20" s="209" t="n">
        <v>0.3</v>
      </c>
      <c r="P20" s="211">
        <f>IF($G20="No",0,ROUND(5*K20+3*L20+1*M20,0))</f>
        <v/>
      </c>
      <c r="Q20" s="211">
        <f>IF($G20="No",0,ROUND(1+4*(K20+L20),0))</f>
        <v/>
      </c>
      <c r="R20" s="211">
        <f>P20*Q20</f>
        <v/>
      </c>
      <c r="S20" s="346" t="n"/>
    </row>
    <row r="21" ht="45.75" customHeight="1" s="173">
      <c r="B21" s="203" t="n">
        <v>3</v>
      </c>
      <c r="C21" s="204" t="n">
        <v>15</v>
      </c>
      <c r="D21" s="205" t="inlineStr">
        <is>
          <t>Área geográfica nacional de la operación</t>
        </is>
      </c>
      <c r="E21" s="204" t="n"/>
      <c r="F21" s="206" t="inlineStr">
        <is>
          <t>C+D</t>
        </is>
      </c>
      <c r="G21" s="207" t="inlineStr">
        <is>
          <t>Sí</t>
        </is>
      </c>
      <c r="H21" s="208">
        <f>IFERROR(INDEX(BASE!$E:$E,MATCH(INICIO!$C$18&amp;"-"&amp;$C21,BASE!$A:$A,0)),"")</f>
        <v/>
      </c>
      <c r="I21" s="208">
        <f>IFERROR(INDEX(BASE!$F:$F,MATCH(INICIO!$C$18&amp;"-"&amp;$C21,BASE!$A:$A,0)),"")</f>
        <v/>
      </c>
      <c r="J21" s="208">
        <f>IFERROR(INDEX(BASE!$G:$G,MATCH(INICIO!$C$18&amp;"-"&amp;$C21,BASE!$A:$A,0)),"")</f>
        <v/>
      </c>
      <c r="K21" s="209" t="n"/>
      <c r="L21" s="209" t="n"/>
      <c r="M21" s="209" t="n"/>
      <c r="N21" s="210">
        <f>K21+L21+M21</f>
        <v/>
      </c>
      <c r="O21" s="209" t="n">
        <v>0.3</v>
      </c>
      <c r="P21" s="211">
        <f>IF($G21="No",0,ROUND(5*K21+3*L21+1*M21,0))</f>
        <v/>
      </c>
      <c r="Q21" s="211">
        <f>IF($G21="No",0,ROUND(1+4*(K21+L21),0))</f>
        <v/>
      </c>
      <c r="R21" s="211">
        <f>P21*Q21</f>
        <v/>
      </c>
      <c r="S21" s="346" t="n"/>
    </row>
    <row r="22" ht="45.75" customHeight="1" s="173">
      <c r="B22" s="203" t="n">
        <v>3</v>
      </c>
      <c r="C22" s="204" t="n">
        <v>16</v>
      </c>
      <c r="D22" s="205" t="inlineStr">
        <is>
          <t>Vínculo con jurisdicciones sancionadas, en conflicto o de acción requerida por el GAFI</t>
        </is>
      </c>
      <c r="E22" s="215" t="inlineStr">
        <is>
          <t>139 Quáter</t>
        </is>
      </c>
      <c r="F22" s="206" t="inlineStr">
        <is>
          <t>C+D</t>
        </is>
      </c>
      <c r="G22" s="207" t="inlineStr">
        <is>
          <t>Sí</t>
        </is>
      </c>
      <c r="H22" s="208">
        <f>IFERROR(INDEX(BASE!$E:$E,MATCH(INICIO!$C$18&amp;"-"&amp;$C22,BASE!$A:$A,0)),"")</f>
        <v/>
      </c>
      <c r="I22" s="208">
        <f>IFERROR(INDEX(BASE!$F:$F,MATCH(INICIO!$C$18&amp;"-"&amp;$C22,BASE!$A:$A,0)),"")</f>
        <v/>
      </c>
      <c r="J22" s="208">
        <f>IFERROR(INDEX(BASE!$G:$G,MATCH(INICIO!$C$18&amp;"-"&amp;$C22,BASE!$A:$A,0)),"")</f>
        <v/>
      </c>
      <c r="K22" s="209" t="n"/>
      <c r="L22" s="209" t="n"/>
      <c r="M22" s="209" t="n"/>
      <c r="N22" s="210">
        <f>K22+L22+M22</f>
        <v/>
      </c>
      <c r="O22" s="209" t="n">
        <v>0.15</v>
      </c>
      <c r="P22" s="211">
        <f>IF($G22="No",0,ROUND(5*K22+3*L22+1*M22,0))</f>
        <v/>
      </c>
      <c r="Q22" s="211">
        <f>IF($G22="No",0,ROUND(1+4*(K22+L22),0))</f>
        <v/>
      </c>
      <c r="R22" s="211">
        <f>P22*Q22</f>
        <v/>
      </c>
      <c r="S22" s="346" t="n"/>
    </row>
    <row r="23" ht="45.75" customHeight="1" s="173">
      <c r="B23" s="203" t="n">
        <v>3</v>
      </c>
      <c r="C23" s="204" t="n">
        <v>17</v>
      </c>
      <c r="D23" s="205" t="inlineStr">
        <is>
          <t>Congruencia entre el domicilio del Cliente y el lugar de la operación</t>
        </is>
      </c>
      <c r="E23" s="213" t="inlineStr">
        <is>
          <t>400 Bis</t>
        </is>
      </c>
      <c r="F23" s="206" t="inlineStr">
        <is>
          <t>A+C</t>
        </is>
      </c>
      <c r="G23" s="207" t="inlineStr">
        <is>
          <t>Sí</t>
        </is>
      </c>
      <c r="H23" s="208">
        <f>IFERROR(INDEX(BASE!$E:$E,MATCH(INICIO!$C$18&amp;"-"&amp;$C23,BASE!$A:$A,0)),"")</f>
        <v/>
      </c>
      <c r="I23" s="208">
        <f>IFERROR(INDEX(BASE!$F:$F,MATCH(INICIO!$C$18&amp;"-"&amp;$C23,BASE!$A:$A,0)),"")</f>
        <v/>
      </c>
      <c r="J23" s="208">
        <f>IFERROR(INDEX(BASE!$G:$G,MATCH(INICIO!$C$18&amp;"-"&amp;$C23,BASE!$A:$A,0)),"")</f>
        <v/>
      </c>
      <c r="K23" s="209" t="n"/>
      <c r="L23" s="209" t="n"/>
      <c r="M23" s="209" t="n"/>
      <c r="N23" s="210">
        <f>K23+L23+M23</f>
        <v/>
      </c>
      <c r="O23" s="209" t="n">
        <v>0.25</v>
      </c>
      <c r="P23" s="211">
        <f>IF($G23="No",0,ROUND(5*K23+3*L23+1*M23,0))</f>
        <v/>
      </c>
      <c r="Q23" s="211">
        <f>IF($G23="No",0,ROUND(1+4*(K23+L23),0))</f>
        <v/>
      </c>
      <c r="R23" s="211">
        <f>P23*Q23</f>
        <v/>
      </c>
      <c r="S23" s="346" t="n"/>
    </row>
    <row r="24" ht="45.75" customHeight="1" s="173">
      <c r="B24" s="203" t="n">
        <v>4</v>
      </c>
      <c r="C24" s="204" t="n">
        <v>18</v>
      </c>
      <c r="D24" s="205" t="inlineStr">
        <is>
          <t>Instrumento monetario</t>
        </is>
      </c>
      <c r="E24" s="204" t="n"/>
      <c r="F24" s="206" t="inlineStr">
        <is>
          <t>C</t>
        </is>
      </c>
      <c r="G24" s="207" t="inlineStr">
        <is>
          <t>Sí</t>
        </is>
      </c>
      <c r="H24" s="208">
        <f>IFERROR(INDEX(BASE!$E:$E,MATCH(INICIO!$C$18&amp;"-"&amp;$C24,BASE!$A:$A,0)),"")</f>
        <v/>
      </c>
      <c r="I24" s="208">
        <f>IFERROR(INDEX(BASE!$F:$F,MATCH(INICIO!$C$18&amp;"-"&amp;$C24,BASE!$A:$A,0)),"")</f>
        <v/>
      </c>
      <c r="J24" s="208">
        <f>IFERROR(INDEX(BASE!$G:$G,MATCH(INICIO!$C$18&amp;"-"&amp;$C24,BASE!$A:$A,0)),"")</f>
        <v/>
      </c>
      <c r="K24" s="209" t="n"/>
      <c r="L24" s="209" t="n"/>
      <c r="M24" s="209" t="n"/>
      <c r="N24" s="210">
        <f>K24+L24+M24</f>
        <v/>
      </c>
      <c r="O24" s="209" t="n">
        <v>0.22</v>
      </c>
      <c r="P24" s="211">
        <f>IF($G24="No",0,ROUND(5*K24+3*L24+1*M24,0))</f>
        <v/>
      </c>
      <c r="Q24" s="211">
        <f>IF($G24="No",0,ROUND(1+4*(K24+L24),0))</f>
        <v/>
      </c>
      <c r="R24" s="211">
        <f>P24*Q24</f>
        <v/>
      </c>
      <c r="S24" s="346" t="n"/>
    </row>
    <row r="25" ht="45.75" customHeight="1" s="173">
      <c r="B25" s="203" t="n">
        <v>4</v>
      </c>
      <c r="C25" s="204" t="n">
        <v>19</v>
      </c>
      <c r="D25" s="205" t="inlineStr">
        <is>
          <t>Tipo de moneda</t>
        </is>
      </c>
      <c r="E25" s="204" t="n"/>
      <c r="F25" s="206" t="inlineStr">
        <is>
          <t>C</t>
        </is>
      </c>
      <c r="G25" s="207" t="inlineStr">
        <is>
          <t>Sí</t>
        </is>
      </c>
      <c r="H25" s="208">
        <f>IFERROR(INDEX(BASE!$E:$E,MATCH(INICIO!$C$18&amp;"-"&amp;$C25,BASE!$A:$A,0)),"")</f>
        <v/>
      </c>
      <c r="I25" s="208">
        <f>IFERROR(INDEX(BASE!$F:$F,MATCH(INICIO!$C$18&amp;"-"&amp;$C25,BASE!$A:$A,0)),"")</f>
        <v/>
      </c>
      <c r="J25" s="208">
        <f>IFERROR(INDEX(BASE!$G:$G,MATCH(INICIO!$C$18&amp;"-"&amp;$C25,BASE!$A:$A,0)),"")</f>
        <v/>
      </c>
      <c r="K25" s="209" t="n"/>
      <c r="L25" s="209" t="n"/>
      <c r="M25" s="209" t="n"/>
      <c r="N25" s="210">
        <f>K25+L25+M25</f>
        <v/>
      </c>
      <c r="O25" s="209" t="n">
        <v>0.05</v>
      </c>
      <c r="P25" s="211">
        <f>IF($G25="No",0,ROUND(5*K25+3*L25+1*M25,0))</f>
        <v/>
      </c>
      <c r="Q25" s="211">
        <f>IF($G25="No",0,ROUND(1+4*(K25+L25),0))</f>
        <v/>
      </c>
      <c r="R25" s="211">
        <f>P25*Q25</f>
        <v/>
      </c>
      <c r="S25" s="346" t="n"/>
    </row>
    <row r="26" ht="45.75" customHeight="1" s="173">
      <c r="B26" s="203" t="n">
        <v>4</v>
      </c>
      <c r="C26" s="204" t="n">
        <v>20</v>
      </c>
      <c r="D26" s="205" t="inlineStr">
        <is>
          <t>Monto frente a umbrales LFPIORPI</t>
        </is>
      </c>
      <c r="E26" s="204" t="n"/>
      <c r="F26" s="206" t="inlineStr">
        <is>
          <t>C</t>
        </is>
      </c>
      <c r="G26" s="207" t="inlineStr">
        <is>
          <t>Sí</t>
        </is>
      </c>
      <c r="H26" s="208">
        <f>IFERROR(INDEX(BASE!$E:$E,MATCH(INICIO!$C$18&amp;"-"&amp;$C26,BASE!$A:$A,0)),"")</f>
        <v/>
      </c>
      <c r="I26" s="208">
        <f>IFERROR(INDEX(BASE!$F:$F,MATCH(INICIO!$C$18&amp;"-"&amp;$C26,BASE!$A:$A,0)),"")</f>
        <v/>
      </c>
      <c r="J26" s="208">
        <f>IFERROR(INDEX(BASE!$G:$G,MATCH(INICIO!$C$18&amp;"-"&amp;$C26,BASE!$A:$A,0)),"")</f>
        <v/>
      </c>
      <c r="K26" s="209" t="n"/>
      <c r="L26" s="209" t="n"/>
      <c r="M26" s="209" t="n"/>
      <c r="N26" s="210">
        <f>K26+L26+M26</f>
        <v/>
      </c>
      <c r="O26" s="209" t="n">
        <v>0.13</v>
      </c>
      <c r="P26" s="211">
        <f>IF($G26="No",0,ROUND(5*K26+3*L26+1*M26,0))</f>
        <v/>
      </c>
      <c r="Q26" s="211">
        <f>IF($G26="No",0,ROUND(1+4*(K26+L26),0))</f>
        <v/>
      </c>
      <c r="R26" s="211">
        <f>P26*Q26</f>
        <v/>
      </c>
      <c r="S26" s="346" t="n"/>
    </row>
    <row r="27" ht="45.75" customHeight="1" s="173">
      <c r="B27" s="203" t="n">
        <v>4</v>
      </c>
      <c r="C27" s="204" t="n">
        <v>21</v>
      </c>
      <c r="D27" s="205" t="inlineStr">
        <is>
          <t>Frecuencia (fraccionamiento)</t>
        </is>
      </c>
      <c r="E27" s="204" t="n"/>
      <c r="F27" s="206" t="inlineStr">
        <is>
          <t>C</t>
        </is>
      </c>
      <c r="G27" s="207" t="inlineStr">
        <is>
          <t>Sí</t>
        </is>
      </c>
      <c r="H27" s="208">
        <f>IFERROR(INDEX(BASE!$E:$E,MATCH(INICIO!$C$18&amp;"-"&amp;$C27,BASE!$A:$A,0)),"")</f>
        <v/>
      </c>
      <c r="I27" s="208">
        <f>IFERROR(INDEX(BASE!$F:$F,MATCH(INICIO!$C$18&amp;"-"&amp;$C27,BASE!$A:$A,0)),"")</f>
        <v/>
      </c>
      <c r="J27" s="208">
        <f>IFERROR(INDEX(BASE!$G:$G,MATCH(INICIO!$C$18&amp;"-"&amp;$C27,BASE!$A:$A,0)),"")</f>
        <v/>
      </c>
      <c r="K27" s="209" t="n"/>
      <c r="L27" s="209" t="n"/>
      <c r="M27" s="209" t="n"/>
      <c r="N27" s="210">
        <f>K27+L27+M27</f>
        <v/>
      </c>
      <c r="O27" s="209" t="n">
        <v>0.15</v>
      </c>
      <c r="P27" s="211">
        <f>IF($G27="No",0,ROUND(5*K27+3*L27+1*M27,0))</f>
        <v/>
      </c>
      <c r="Q27" s="211">
        <f>IF($G27="No",0,ROUND(1+4*(K27+L27),0))</f>
        <v/>
      </c>
      <c r="R27" s="211">
        <f>P27*Q27</f>
        <v/>
      </c>
      <c r="S27" s="346" t="n"/>
    </row>
    <row r="28" ht="45.75" customHeight="1" s="173">
      <c r="B28" s="203" t="n">
        <v>4</v>
      </c>
      <c r="C28" s="204" t="n">
        <v>22</v>
      </c>
      <c r="D28" s="205" t="inlineStr">
        <is>
          <t>Canal (presencial / no presencial / terceros)</t>
        </is>
      </c>
      <c r="E28" s="213" t="inlineStr">
        <is>
          <t>400 Bis</t>
        </is>
      </c>
      <c r="F28" s="206" t="inlineStr">
        <is>
          <t>B+C</t>
        </is>
      </c>
      <c r="G28" s="214" t="inlineStr">
        <is>
          <t>Sí</t>
        </is>
      </c>
      <c r="H28" s="208">
        <f>IFERROR(INDEX(BASE!$E:$E,MATCH(INICIO!$C$18&amp;"-"&amp;$C28,BASE!$A:$A,0)),"")</f>
        <v/>
      </c>
      <c r="I28" s="208">
        <f>IFERROR(INDEX(BASE!$F:$F,MATCH(INICIO!$C$18&amp;"-"&amp;$C28,BASE!$A:$A,0)),"")</f>
        <v/>
      </c>
      <c r="J28" s="208">
        <f>IFERROR(INDEX(BASE!$G:$G,MATCH(INICIO!$C$18&amp;"-"&amp;$C28,BASE!$A:$A,0)),"")</f>
        <v/>
      </c>
      <c r="K28" s="209" t="n"/>
      <c r="L28" s="209" t="n"/>
      <c r="M28" s="209" t="n"/>
      <c r="N28" s="210">
        <f>K28+L28+M28</f>
        <v/>
      </c>
      <c r="O28" s="209" t="n">
        <v>0.1</v>
      </c>
      <c r="P28" s="211">
        <f>IF($G28="No",0,ROUND(5*K28+3*L28+1*M28,0))</f>
        <v/>
      </c>
      <c r="Q28" s="211">
        <f>IF($G28="No",0,ROUND(1+4*(K28+L28),0))</f>
        <v/>
      </c>
      <c r="R28" s="211">
        <f>P28*Q28</f>
        <v/>
      </c>
      <c r="S28" s="346" t="n"/>
    </row>
    <row r="29" ht="45.75" customHeight="1" s="173">
      <c r="B29" s="203" t="n">
        <v>4</v>
      </c>
      <c r="C29" s="204" t="n">
        <v>23</v>
      </c>
      <c r="D29" s="205" t="inlineStr">
        <is>
          <t>Origen de los recursos</t>
        </is>
      </c>
      <c r="E29" s="204" t="n"/>
      <c r="F29" s="206" t="inlineStr">
        <is>
          <t>C+D</t>
        </is>
      </c>
      <c r="G29" s="207" t="inlineStr">
        <is>
          <t>Sí</t>
        </is>
      </c>
      <c r="H29" s="208">
        <f>IFERROR(INDEX(BASE!$E:$E,MATCH(INICIO!$C$18&amp;"-"&amp;$C29,BASE!$A:$A,0)),"")</f>
        <v/>
      </c>
      <c r="I29" s="208">
        <f>IFERROR(INDEX(BASE!$F:$F,MATCH(INICIO!$C$18&amp;"-"&amp;$C29,BASE!$A:$A,0)),"")</f>
        <v/>
      </c>
      <c r="J29" s="208">
        <f>IFERROR(INDEX(BASE!$G:$G,MATCH(INICIO!$C$18&amp;"-"&amp;$C29,BASE!$A:$A,0)),"")</f>
        <v/>
      </c>
      <c r="K29" s="209" t="n"/>
      <c r="L29" s="209" t="n"/>
      <c r="M29" s="209" t="n"/>
      <c r="N29" s="210">
        <f>K29+L29+M29</f>
        <v/>
      </c>
      <c r="O29" s="209" t="n">
        <v>0.18</v>
      </c>
      <c r="P29" s="211">
        <f>IF($G29="No",0,ROUND(5*K29+3*L29+1*M29,0))</f>
        <v/>
      </c>
      <c r="Q29" s="211">
        <f>IF($G29="No",0,ROUND(1+4*(K29+L29),0))</f>
        <v/>
      </c>
      <c r="R29" s="211">
        <f>P29*Q29</f>
        <v/>
      </c>
      <c r="S29" s="346" t="n"/>
    </row>
    <row r="30" ht="45.75" customHeight="1" s="173">
      <c r="B30" s="203" t="n">
        <v>4</v>
      </c>
      <c r="C30" s="204" t="n">
        <v>24</v>
      </c>
      <c r="D30" s="205" t="inlineStr">
        <is>
          <t>Destino de los recursos</t>
        </is>
      </c>
      <c r="E30" s="204" t="n"/>
      <c r="F30" s="206" t="inlineStr">
        <is>
          <t>C+D</t>
        </is>
      </c>
      <c r="G30" s="207" t="inlineStr">
        <is>
          <t>Sí</t>
        </is>
      </c>
      <c r="H30" s="208">
        <f>IFERROR(INDEX(BASE!$E:$E,MATCH(INICIO!$C$18&amp;"-"&amp;$C30,BASE!$A:$A,0)),"")</f>
        <v/>
      </c>
      <c r="I30" s="208">
        <f>IFERROR(INDEX(BASE!$F:$F,MATCH(INICIO!$C$18&amp;"-"&amp;$C30,BASE!$A:$A,0)),"")</f>
        <v/>
      </c>
      <c r="J30" s="208">
        <f>IFERROR(INDEX(BASE!$G:$G,MATCH(INICIO!$C$18&amp;"-"&amp;$C30,BASE!$A:$A,0)),"")</f>
        <v/>
      </c>
      <c r="K30" s="209" t="n"/>
      <c r="L30" s="209" t="n"/>
      <c r="M30" s="209" t="n"/>
      <c r="N30" s="210">
        <f>K30+L30+M30</f>
        <v/>
      </c>
      <c r="O30" s="209" t="n">
        <v>0.09</v>
      </c>
      <c r="P30" s="211">
        <f>IF($G30="No",0,ROUND(5*K30+3*L30+1*M30,0))</f>
        <v/>
      </c>
      <c r="Q30" s="211">
        <f>IF($G30="No",0,ROUND(1+4*(K30+L30),0))</f>
        <v/>
      </c>
      <c r="R30" s="211">
        <f>P30*Q30</f>
        <v/>
      </c>
      <c r="S30" s="346" t="n"/>
    </row>
    <row r="31" ht="45.75" customHeight="1" s="173">
      <c r="B31" s="203" t="n">
        <v>4</v>
      </c>
      <c r="C31" s="204" t="n">
        <v>25</v>
      </c>
      <c r="D31" s="205" t="inlineStr">
        <is>
          <t>Canales e instrumentos idóneos para el financiamiento al terrorismo</t>
        </is>
      </c>
      <c r="E31" s="215" t="inlineStr">
        <is>
          <t>139 Quáter</t>
        </is>
      </c>
      <c r="F31" s="206" t="inlineStr">
        <is>
          <t>B+C</t>
        </is>
      </c>
      <c r="G31" s="214" t="inlineStr">
        <is>
          <t>Sí</t>
        </is>
      </c>
      <c r="H31" s="208">
        <f>IFERROR(INDEX(BASE!$E:$E,MATCH(INICIO!$C$18&amp;"-"&amp;$C31,BASE!$A:$A,0)),"")</f>
        <v/>
      </c>
      <c r="I31" s="208">
        <f>IFERROR(INDEX(BASE!$F:$F,MATCH(INICIO!$C$18&amp;"-"&amp;$C31,BASE!$A:$A,0)),"")</f>
        <v/>
      </c>
      <c r="J31" s="208">
        <f>IFERROR(INDEX(BASE!$G:$G,MATCH(INICIO!$C$18&amp;"-"&amp;$C31,BASE!$A:$A,0)),"")</f>
        <v/>
      </c>
      <c r="K31" s="209" t="n"/>
      <c r="L31" s="209" t="n"/>
      <c r="M31" s="209" t="n"/>
      <c r="N31" s="210">
        <f>K31+L31+M31</f>
        <v/>
      </c>
      <c r="O31" s="209" t="n">
        <v>0.08</v>
      </c>
      <c r="P31" s="211">
        <f>IF($G31="No",0,ROUND(5*K31+3*L31+1*M31,0))</f>
        <v/>
      </c>
      <c r="Q31" s="211">
        <f>IF($G31="No",0,ROUND(1+4*(K31+L31),0))</f>
        <v/>
      </c>
      <c r="R31" s="211">
        <f>P31*Q31</f>
        <v/>
      </c>
      <c r="S31" s="346" t="n"/>
    </row>
    <row r="33" ht="21" customHeight="1" s="173">
      <c r="B33" s="216" t="inlineStr">
        <is>
          <t>RESUMEN POR ELEMENTO</t>
        </is>
      </c>
    </row>
    <row r="34" ht="15" customHeight="1" s="173">
      <c r="B34" s="178" t="inlineStr">
        <is>
          <t>Elemento</t>
        </is>
      </c>
      <c r="C34" s="180" t="n"/>
      <c r="D34" s="178" t="inlineStr">
        <is>
          <t>Peso</t>
        </is>
      </c>
      <c r="E34" s="178" t="inlineStr">
        <is>
          <t>Calif.</t>
        </is>
      </c>
      <c r="F34" s="178" t="inlineStr">
        <is>
          <t>Conc.</t>
        </is>
      </c>
      <c r="G34" s="178" t="inlineStr">
        <is>
          <t>Riesgo</t>
        </is>
      </c>
      <c r="H34" s="178" t="inlineStr">
        <is>
          <t>Nivel</t>
        </is>
      </c>
      <c r="I34" s="178" t="inlineStr">
        <is>
          <t>N/A</t>
        </is>
      </c>
      <c r="J34" s="178" t="inlineStr">
        <is>
          <t>Aviso</t>
        </is>
      </c>
      <c r="K34" s="178" t="inlineStr">
        <is>
          <t>Justificación del peso asignado (Art. 10 Septies 1, fr. II)</t>
        </is>
      </c>
      <c r="L34" s="179" t="n"/>
      <c r="M34" s="179" t="n"/>
      <c r="N34" s="179" t="n"/>
      <c r="O34" s="179" t="n"/>
      <c r="P34" s="179" t="n"/>
      <c r="Q34" s="179" t="n"/>
      <c r="R34" s="179" t="n"/>
      <c r="S34" s="180" t="n"/>
    </row>
    <row r="35" ht="30" customHeight="1" s="173">
      <c r="B35" s="217" t="inlineStr">
        <is>
          <t>1. Actos u operaciones</t>
        </is>
      </c>
      <c r="C35" s="180" t="n"/>
      <c r="D35" s="218" t="n">
        <v>0.2</v>
      </c>
      <c r="E35" s="219">
        <f>IFERROR(SUMPRODUCT($P$7:$P$11,$O$7:$O$11,--($G$7:$G$11="Sí"))/SUMPRODUCT($O$7:$O$11,--($G$7:$G$11="Sí")),0)</f>
        <v/>
      </c>
      <c r="F35" s="219">
        <f>IFERROR(SUMPRODUCT($Q$7:$Q$11,$O$7:$O$11,--($G$7:$G$11="Sí"))/SUMPRODUCT($O$7:$O$11,--($G$7:$G$11="Sí")),0)</f>
        <v/>
      </c>
      <c r="G35" s="219">
        <f>E35*F35</f>
        <v/>
      </c>
      <c r="H35" s="220">
        <f>IFERROR(INDEX(PARAMETROS!$E$15:$E$19,MATCH(G35,PARAMETROS!$B$15:$B$19,1)),"")</f>
        <v/>
      </c>
      <c r="I35" s="220">
        <f>COUNTIF($G$7:$G$11,"No")</f>
        <v/>
      </c>
      <c r="J35" s="181">
        <f>IF(I35&gt;5/3,"Revisar: más de un tercio del elemento está en No aplica","")</f>
        <v/>
      </c>
      <c r="K35" s="412" t="inlineStr">
        <is>
          <t>Escribe aquí por qué este elemento pesa lo que pesa en TU operación (Art. 10 Septies 1, fr. II).</t>
        </is>
      </c>
      <c r="L35" s="179" t="n"/>
      <c r="M35" s="179" t="n"/>
      <c r="N35" s="179" t="n"/>
      <c r="O35" s="179" t="n"/>
      <c r="P35" s="179" t="n"/>
      <c r="Q35" s="179" t="n"/>
      <c r="R35" s="179" t="n"/>
      <c r="S35" s="180" t="n"/>
    </row>
    <row r="36" ht="30" customHeight="1" s="173">
      <c r="B36" s="217" t="inlineStr">
        <is>
          <t>2. Clientes / Usuarios</t>
        </is>
      </c>
      <c r="C36" s="180" t="n"/>
      <c r="D36" s="218" t="n">
        <v>0.3</v>
      </c>
      <c r="E36" s="219">
        <f>IFERROR(SUMPRODUCT($P$12:$P$19,$O$12:$O$19,--($G$12:$G$19="Sí"))/SUMPRODUCT($O$12:$O$19,--($G$12:$G$19="Sí")),0)</f>
        <v/>
      </c>
      <c r="F36" s="219">
        <f>IFERROR(SUMPRODUCT($Q$12:$Q$19,$O$12:$O$19,--($G$12:$G$19="Sí"))/SUMPRODUCT($O$12:$O$19,--($G$12:$G$19="Sí")),0)</f>
        <v/>
      </c>
      <c r="G36" s="219">
        <f>E36*F36</f>
        <v/>
      </c>
      <c r="H36" s="220">
        <f>IFERROR(INDEX(PARAMETROS!$E$15:$E$19,MATCH(G36,PARAMETROS!$B$15:$B$19,1)),"")</f>
        <v/>
      </c>
      <c r="I36" s="220">
        <f>COUNTIF($G$12:$G$19,"No")</f>
        <v/>
      </c>
      <c r="J36" s="181">
        <f>IF(I36&gt;8/3,"Revisar: más de un tercio del elemento está en No aplica","")</f>
        <v/>
      </c>
      <c r="K36" s="412" t="inlineStr">
        <is>
          <t>Escribe aquí por qué este elemento pesa lo que pesa en TU operación (Art. 10 Septies 1, fr. II).</t>
        </is>
      </c>
      <c r="L36" s="179" t="n"/>
      <c r="M36" s="179" t="n"/>
      <c r="N36" s="179" t="n"/>
      <c r="O36" s="179" t="n"/>
      <c r="P36" s="179" t="n"/>
      <c r="Q36" s="179" t="n"/>
      <c r="R36" s="179" t="n"/>
      <c r="S36" s="180" t="n"/>
    </row>
    <row r="37" ht="30" customHeight="1" s="173">
      <c r="B37" s="217" t="inlineStr">
        <is>
          <t>3. Países y áreas geográficas</t>
        </is>
      </c>
      <c r="C37" s="180" t="n"/>
      <c r="D37" s="218" t="n">
        <v>0.15</v>
      </c>
      <c r="E37" s="219">
        <f>IFERROR(SUMPRODUCT($P$20:$P$23,$O$20:$O$23,--($G$20:$G$23="Sí"))/SUMPRODUCT($O$20:$O$23,--($G$20:$G$23="Sí")),0)</f>
        <v/>
      </c>
      <c r="F37" s="219">
        <f>IFERROR(SUMPRODUCT($Q$20:$Q$23,$O$20:$O$23,--($G$20:$G$23="Sí"))/SUMPRODUCT($O$20:$O$23,--($G$20:$G$23="Sí")),0)</f>
        <v/>
      </c>
      <c r="G37" s="219">
        <f>E37*F37</f>
        <v/>
      </c>
      <c r="H37" s="220">
        <f>IFERROR(INDEX(PARAMETROS!$E$15:$E$19,MATCH(G37,PARAMETROS!$B$15:$B$19,1)),"")</f>
        <v/>
      </c>
      <c r="I37" s="220">
        <f>COUNTIF($G$20:$G$23,"No")</f>
        <v/>
      </c>
      <c r="J37" s="181">
        <f>IF(I37&gt;4/3,"Revisar: más de un tercio del elemento está en No aplica","")</f>
        <v/>
      </c>
      <c r="K37" s="412" t="inlineStr">
        <is>
          <t>Escribe aquí por qué este elemento pesa lo que pesa en TU operación (Art. 10 Septies 1, fr. II).</t>
        </is>
      </c>
      <c r="L37" s="179" t="n"/>
      <c r="M37" s="179" t="n"/>
      <c r="N37" s="179" t="n"/>
      <c r="O37" s="179" t="n"/>
      <c r="P37" s="179" t="n"/>
      <c r="Q37" s="179" t="n"/>
      <c r="R37" s="179" t="n"/>
      <c r="S37" s="180" t="n"/>
    </row>
    <row r="38" ht="30" customHeight="1" s="173">
      <c r="B38" s="217" t="inlineStr">
        <is>
          <t>4. Transacciones y canales</t>
        </is>
      </c>
      <c r="C38" s="180" t="n"/>
      <c r="D38" s="218" t="n">
        <v>0.35</v>
      </c>
      <c r="E38" s="219">
        <f>IFERROR(SUMPRODUCT($P$24:$P$31,$O$24:$O$31,--($G$24:$G$31="Sí"))/SUMPRODUCT($O$24:$O$31,--($G$24:$G$31="Sí")),0)</f>
        <v/>
      </c>
      <c r="F38" s="219">
        <f>IFERROR(SUMPRODUCT($Q$24:$Q$31,$O$24:$O$31,--($G$24:$G$31="Sí"))/SUMPRODUCT($O$24:$O$31,--($G$24:$G$31="Sí")),0)</f>
        <v/>
      </c>
      <c r="G38" s="219">
        <f>E38*F38</f>
        <v/>
      </c>
      <c r="H38" s="220">
        <f>IFERROR(INDEX(PARAMETROS!$E$15:$E$19,MATCH(G38,PARAMETROS!$B$15:$B$19,1)),"")</f>
        <v/>
      </c>
      <c r="I38" s="220">
        <f>COUNTIF($G$24:$G$31,"No")</f>
        <v/>
      </c>
      <c r="J38" s="181">
        <f>IF(I38&gt;8/3,"Revisar: más de un tercio del elemento está en No aplica","")</f>
        <v/>
      </c>
      <c r="K38" s="412" t="inlineStr">
        <is>
          <t>Escribe aquí por qué este elemento pesa lo que pesa en TU operación (Art. 10 Septies 1, fr. II).</t>
        </is>
      </c>
      <c r="L38" s="179" t="n"/>
      <c r="M38" s="179" t="n"/>
      <c r="N38" s="179" t="n"/>
      <c r="O38" s="179" t="n"/>
      <c r="P38" s="179" t="n"/>
      <c r="Q38" s="179" t="n"/>
      <c r="R38" s="179" t="n"/>
      <c r="S38" s="180" t="n"/>
    </row>
    <row r="40" ht="34.5" customHeight="1" s="173">
      <c r="B40" s="222" t="inlineStr">
        <is>
          <t>RIESGO DE LA ENTIDAD</t>
        </is>
      </c>
      <c r="C40" s="180" t="n"/>
      <c r="D40" s="223">
        <f>SUM(D35:D38)</f>
        <v/>
      </c>
      <c r="E40" s="224">
        <f>IFERROR(SUMPRODUCT(E35:E38,D35:D38)/SUM(D35:D38),0)</f>
        <v/>
      </c>
      <c r="F40" s="224">
        <f>IFERROR(SUMPRODUCT(F35:F38,D35:D38)/SUM(D35:D38),0)</f>
        <v/>
      </c>
      <c r="G40" s="224">
        <f>E40*F40</f>
        <v/>
      </c>
      <c r="H40" s="225">
        <f>IFERROR(INDEX(PARAMETROS!$E$15:$E$19,MATCH(G40,PARAMETROS!$B$15:$B$19,1)),"")</f>
        <v/>
      </c>
      <c r="I40" s="225">
        <f>COUNTIF($G$7:$G$31,"No")</f>
        <v/>
      </c>
      <c r="J40" s="226">
        <f>IF(SUMPRODUCT(--($G$7:$G$31="No"),--($S$7:$S$31=""))&gt;0,"Hay exclusiones sin justificación escrita: no son defendibles ante un requerimiento","")</f>
        <v/>
      </c>
      <c r="K40" s="227">
        <f>IF(ABS(SUM($D$35:$D$38)-1)&gt;0.001,"Los pesos de los cuatro elementos suman "&amp;TEXT(SUM($D$35:$D$38),"0%")&amp;" y deben sumar 100%. Corrige la columna Peso.","Los pesos de los elementos suman 100%.")</f>
        <v/>
      </c>
      <c r="L40" s="179" t="n"/>
      <c r="M40" s="179" t="n"/>
      <c r="N40" s="179" t="n"/>
      <c r="O40" s="179" t="n"/>
      <c r="P40" s="179" t="n"/>
      <c r="Q40" s="179" t="n"/>
      <c r="R40" s="179" t="n"/>
      <c r="S40" s="180" t="n"/>
    </row>
    <row r="41" ht="15" customHeight="1" s="173">
      <c r="K41" s="228" t="inlineStr">
        <is>
          <t>El peso de cada indicador (columna Peso) es relativo dentro de su elemento: el promedio se normaliza solo. El peso de los cuatro elementos sí debe sumar 100%.</t>
        </is>
      </c>
    </row>
    <row r="42" ht="15" customHeight="1" s="173">
      <c r="B42" s="229" t="inlineStr">
        <is>
          <t>Trazabilidad (Art. 10 Septies 1, fr. I y último párrafo): indicadores evaluados y excluidos</t>
        </is>
      </c>
    </row>
    <row r="43" ht="15" customHeight="1" s="173">
      <c r="B43" s="230" t="inlineStr">
        <is>
          <t>Indicadores evaluados:</t>
        </is>
      </c>
      <c r="E43" s="229">
        <f>COUNTIF($G$7:$G$31,"Sí")</f>
        <v/>
      </c>
    </row>
    <row r="44" ht="15" customHeight="1" s="173">
      <c r="B44" s="230" t="inlineStr">
        <is>
          <t>Indicadores excluidos (No aplica):</t>
        </is>
      </c>
      <c r="E44" s="229">
        <f>COUNTIF($G$7:$G$31,"No")</f>
        <v/>
      </c>
    </row>
    <row r="45" ht="15" customHeight="1" s="173">
      <c r="B45" s="230" t="inlineStr">
        <is>
          <t>Exclusiones sin justificación escrita:</t>
        </is>
      </c>
      <c r="E45" s="229">
        <f>SUMPRODUCT(--($G$7:$G$31="No"),--($S$7:$S$31=""))</f>
        <v/>
      </c>
    </row>
    <row r="46" ht="15" customHeight="1" s="173">
      <c r="B46" s="228" t="inlineStr">
        <is>
          <t>Los indicadores de 139 Quáter y de 400 Bis con celda gris no admiten «No aplica»: excluirlos incumpliría el último párrafo del Art. 10 Septies 1.</t>
        </is>
      </c>
    </row>
  </sheetData>
  <mergeCells count="13">
    <mergeCell ref="B38:C38"/>
    <mergeCell ref="K38:S38"/>
    <mergeCell ref="B37:C37"/>
    <mergeCell ref="K37:S37"/>
    <mergeCell ref="B34:C34"/>
    <mergeCell ref="B36:C36"/>
    <mergeCell ref="K36:S36"/>
    <mergeCell ref="K40:S40"/>
    <mergeCell ref="B40:C40"/>
    <mergeCell ref="B33:K33"/>
    <mergeCell ref="B35:C35"/>
    <mergeCell ref="K35:S35"/>
    <mergeCell ref="K34:S34"/>
  </mergeCells>
  <conditionalFormatting sqref="K40:S40">
    <cfRule type="expression" rank="0" priority="2" equalAverage="0" aboveAverage="0" dxfId="0" text="" percent="0" bottom="0">
      <formula>ABS(SUM($D$35:$D$38)-1)&gt;0.001</formula>
    </cfRule>
    <cfRule type="expression" rank="0" priority="3" equalAverage="0" aboveAverage="0" dxfId="1" text="" percent="0" bottom="0">
      <formula>ABS(SUM($D$35:$D$38)-1)&lt;=0.001</formula>
    </cfRule>
  </conditionalFormatting>
  <conditionalFormatting sqref="N7:N31">
    <cfRule type="expression" rank="0" priority="4" equalAverage="0" aboveAverage="0" dxfId="0" text="" percent="0" bottom="0">
      <formula>AND($G7="Sí",ABS(N7-1)&gt;0.001)</formula>
    </cfRule>
    <cfRule type="expression" rank="0" priority="5" equalAverage="0" aboveAverage="0" dxfId="1" text="" percent="0" bottom="0">
      <formula>AND($G7="Sí",ABS(N7-1)&lt;=0.001)</formula>
    </cfRule>
  </conditionalFormatting>
  <conditionalFormatting sqref="S7:S31">
    <cfRule type="expression" rank="0" priority="6" equalAverage="0" aboveAverage="0" dxfId="0" text="" percent="0" bottom="0">
      <formula>AND($G7="No",$S7="")</formula>
    </cfRule>
  </conditionalFormatting>
  <conditionalFormatting sqref="H35:H38">
    <cfRule type="expression" rank="0" priority="7" equalAverage="0" aboveAverage="0" dxfId="2" text="" percent="0" bottom="0">
      <formula>EXACT(H35,"BAJO")</formula>
    </cfRule>
    <cfRule type="expression" rank="0" priority="8" equalAverage="0" aboveAverage="0" dxfId="3" text="" percent="0" bottom="0">
      <formula>EXACT(H35,"MEDIO BAJO")</formula>
    </cfRule>
    <cfRule type="expression" rank="0" priority="9" equalAverage="0" aboveAverage="0" dxfId="4" text="" percent="0" bottom="0">
      <formula>EXACT(H35,"MEDIO")</formula>
    </cfRule>
    <cfRule type="expression" rank="0" priority="10" equalAverage="0" aboveAverage="0" dxfId="5" text="" percent="0" bottom="0">
      <formula>EXACT(H35,"MEDIO ALTO")</formula>
    </cfRule>
    <cfRule type="expression" rank="0" priority="11" equalAverage="0" aboveAverage="0" dxfId="6" text="" percent="0" bottom="0">
      <formula>EXACT(H35,"ALTO")</formula>
    </cfRule>
  </conditionalFormatting>
  <conditionalFormatting sqref="H40">
    <cfRule type="expression" rank="0" priority="12" equalAverage="0" aboveAverage="0" dxfId="2" text="" percent="0" bottom="0">
      <formula>EXACT(H40,"BAJO")</formula>
    </cfRule>
    <cfRule type="expression" rank="0" priority="13" equalAverage="0" aboveAverage="0" dxfId="3" text="" percent="0" bottom="0">
      <formula>EXACT(H40,"MEDIO BAJO")</formula>
    </cfRule>
    <cfRule type="expression" rank="0" priority="14" equalAverage="0" aboveAverage="0" dxfId="4" text="" percent="0" bottom="0">
      <formula>EXACT(H40,"MEDIO")</formula>
    </cfRule>
    <cfRule type="expression" rank="0" priority="15" equalAverage="0" aboveAverage="0" dxfId="5" text="" percent="0" bottom="0">
      <formula>EXACT(H40,"MEDIO ALTO")</formula>
    </cfRule>
    <cfRule type="expression" rank="0" priority="16" equalAverage="0" aboveAverage="0" dxfId="6" text="" percent="0" bottom="0">
      <formula>EXACT(H40,"ALTO")</formula>
    </cfRule>
  </conditionalFormatting>
  <dataValidations count="2">
    <dataValidation sqref="G10:G11 G17:G18 G20 G22 G28 G31" showDropDown="0" showInputMessage="0" showErrorMessage="0" allowBlank="0" type="list" errorStyle="stop" operator="between">
      <formula1>"Sí"</formula1>
      <formula2>0</formula2>
    </dataValidation>
    <dataValidation sqref="G7:G9 G12:G16 G19 G21 G23:G27 G29:G30" showDropDown="0" showInputMessage="0" showErrorMessage="0" allowBlank="0" type="list" errorStyle="stop" operator="between">
      <formula1>"Sí,No"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C000"/>
    <outlinePr summaryBelow="1" summaryRight="1"/>
    <pageSetUpPr fitToPage="0"/>
  </sheetPr>
  <dimension ref="B2:G12"/>
  <sheetViews>
    <sheetView showFormulas="0" showGridLines="0"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0" customWidth="1" style="172" min="3" max="6"/>
    <col width="16" customWidth="1" style="172" min="7" max="7"/>
  </cols>
  <sheetData>
    <row r="2" ht="21.75" customHeight="1" s="173">
      <c r="B2" s="174" t="inlineStr">
        <is>
          <t>A2 · CONSECUENCIAS SI EL RIESGO SE MATERIALIZA (análisis cualitativo)</t>
        </is>
      </c>
    </row>
    <row r="3" ht="15" customHeight="1" s="173">
      <c r="B3" s="202" t="inlineStr">
        <is>
          <t>Esta hoja NO alimenta el cálculo y no cambia ningún número. En una sola descripción, explica qué pasaría si el riesgo LD/FT se materializa en tu entidad. Sirve para justificar el nivel de tolerancia declarado y para sustentar la evaluación ante un requerimiento.</t>
        </is>
      </c>
    </row>
    <row r="4" ht="15" customHeight="1" s="173">
      <c r="B4" s="177" t="inlineStr">
        <is>
          <t>Paso 4 de 10  ·  Viene de: A1  ·  Sigue: A3 INHERENTE (solo lectura)</t>
        </is>
      </c>
    </row>
    <row r="6" ht="15" customHeight="1" s="173">
      <c r="B6" s="231" t="inlineStr">
        <is>
          <t>¿Qué pasaría si el riesgo LD/FT se materializa en tu entidad?</t>
        </is>
      </c>
      <c r="C6" s="179" t="n"/>
      <c r="D6" s="179" t="n"/>
      <c r="E6" s="179" t="n"/>
      <c r="F6" s="180" t="n"/>
      <c r="G6" s="231" t="inlineStr">
        <is>
          <t>Severidad (ref.)</t>
        </is>
      </c>
    </row>
    <row r="7" ht="78" customHeight="1" s="173">
      <c r="B7" s="349" t="n"/>
      <c r="C7" s="179" t="n"/>
      <c r="D7" s="179" t="n"/>
      <c r="E7" s="179" t="n"/>
      <c r="F7" s="180" t="n"/>
      <c r="G7" s="233" t="n"/>
    </row>
    <row r="8" ht="15" customHeight="1" s="173">
      <c r="B8" s="234" t="n"/>
      <c r="C8" s="234" t="n"/>
      <c r="D8" s="234" t="n"/>
      <c r="E8" s="234" t="n"/>
      <c r="F8" s="234" t="n"/>
      <c r="G8" s="234" t="n"/>
    </row>
    <row r="9" ht="30" customHeight="1" s="173">
      <c r="B9" s="235" t="inlineStr">
        <is>
          <t>Guía: cubre en la misma redacción las cuatro caras del impacto — legal (multas y sanciones), reputacional (imagen y pérdida de clientes), de contagio (relación con terceros ilícitos) y operativa (interrupción y costos). No hace falta separarlas por elemento de riesgo.</t>
        </is>
      </c>
    </row>
    <row r="10" ht="15" customHeight="1" s="173">
      <c r="B10" s="234" t="n"/>
      <c r="C10" s="234" t="n"/>
      <c r="D10" s="234" t="n"/>
      <c r="E10" s="234" t="n"/>
      <c r="F10" s="234" t="n"/>
      <c r="G10" s="234" t="n"/>
    </row>
    <row r="11" ht="15" customHeight="1" s="173">
      <c r="B11" s="234" t="n"/>
      <c r="C11" s="234" t="n"/>
      <c r="D11" s="234" t="n"/>
      <c r="E11" s="234" t="n"/>
      <c r="F11" s="234" t="n"/>
      <c r="G11" s="234" t="n"/>
    </row>
    <row r="12" ht="15" customHeight="1" s="173">
      <c r="B12" s="234" t="n"/>
      <c r="C12" s="234" t="n"/>
      <c r="D12" s="234" t="n"/>
      <c r="E12" s="234" t="n"/>
      <c r="F12" s="234" t="n"/>
      <c r="G12" s="234" t="n"/>
    </row>
  </sheetData>
  <mergeCells count="3">
    <mergeCell ref="B9:G9"/>
    <mergeCell ref="B7:F7"/>
    <mergeCell ref="B6:F6"/>
  </mergeCells>
  <dataValidations count="1">
    <dataValidation sqref="G7" showDropDown="0" showInputMessage="0" showErrorMessage="0" allowBlank="1" type="list">
      <formula1>"Leve,Moderado,Grave,Catastrófico"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48235"/>
    <outlinePr summaryBelow="1" summaryRight="1"/>
    <pageSetUpPr fitToPage="0"/>
  </sheetPr>
  <dimension ref="B2:G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4" customWidth="1" style="172" min="2" max="2"/>
    <col width="30" customWidth="1" style="172" min="3" max="3"/>
    <col width="10" customWidth="1" style="172" min="4" max="6"/>
    <col width="14" customWidth="1" style="172" min="7" max="7"/>
    <col width="10" customWidth="1" style="172" min="8" max="8"/>
  </cols>
  <sheetData>
    <row r="2" ht="21.75" customHeight="1" s="173">
      <c r="B2" s="201" t="inlineStr">
        <is>
          <t>A3 · RIESGO INHERENTE = Calificación × Concentración (antes de controles)</t>
        </is>
      </c>
    </row>
    <row r="3" ht="15" customHeight="1" s="173">
      <c r="B3" s="202" t="inlineStr">
        <is>
          <t>Resultado en tres niveles: por elemento, por indicador y de la entidad.</t>
        </is>
      </c>
    </row>
    <row r="4" ht="15" customHeight="1" s="173">
      <c r="B4" s="177" t="inlineStr">
        <is>
          <t>Paso 5 de 10  ·  Se calcula solo  ·  Sigue: A4 CONTROLES MINIMOS</t>
        </is>
      </c>
    </row>
    <row r="5" ht="15" customHeight="1" s="173">
      <c r="B5" s="216" t="inlineStr">
        <is>
          <t>RIESGO INHERENTE POR ELEMENTO</t>
        </is>
      </c>
    </row>
    <row r="6" ht="15" customHeight="1" s="173">
      <c r="B6" s="178" t="inlineStr">
        <is>
          <t>Elemento</t>
        </is>
      </c>
      <c r="C6" s="178" t="inlineStr">
        <is>
          <t>Calif.</t>
        </is>
      </c>
      <c r="D6" s="178" t="inlineStr">
        <is>
          <t>Conc.</t>
        </is>
      </c>
      <c r="E6" s="178" t="inlineStr">
        <is>
          <t>Riesgo</t>
        </is>
      </c>
      <c r="F6" s="178" t="inlineStr">
        <is>
          <t>Nivel</t>
        </is>
      </c>
    </row>
    <row r="7" ht="15" customHeight="1" s="173">
      <c r="B7" s="236" t="inlineStr">
        <is>
          <t>1. Actos u operaciones</t>
        </is>
      </c>
      <c r="C7" s="237">
        <f>'A1 EXPOSICION'!E35</f>
        <v/>
      </c>
      <c r="D7" s="237">
        <f>'A1 EXPOSICION'!F35</f>
        <v/>
      </c>
      <c r="E7" s="237">
        <f>'A1 EXPOSICION'!G35</f>
        <v/>
      </c>
      <c r="F7" s="238">
        <f>IFERROR(INDEX(PARAMETROS!$E$15:$E$19,MATCH(E7,PARAMETROS!$B$15:$B$19,1)),"")</f>
        <v/>
      </c>
    </row>
    <row r="8" ht="15" customHeight="1" s="173">
      <c r="B8" s="236" t="inlineStr">
        <is>
          <t>2. Clientes / Usuarios</t>
        </is>
      </c>
      <c r="C8" s="237">
        <f>'A1 EXPOSICION'!E36</f>
        <v/>
      </c>
      <c r="D8" s="237">
        <f>'A1 EXPOSICION'!F36</f>
        <v/>
      </c>
      <c r="E8" s="237">
        <f>'A1 EXPOSICION'!G36</f>
        <v/>
      </c>
      <c r="F8" s="238">
        <f>IFERROR(INDEX(PARAMETROS!$E$15:$E$19,MATCH(E8,PARAMETROS!$B$15:$B$19,1)),"")</f>
        <v/>
      </c>
    </row>
    <row r="9" ht="15" customHeight="1" s="173">
      <c r="B9" s="236" t="inlineStr">
        <is>
          <t>3. Países y áreas geográficas</t>
        </is>
      </c>
      <c r="C9" s="237">
        <f>'A1 EXPOSICION'!E37</f>
        <v/>
      </c>
      <c r="D9" s="237">
        <f>'A1 EXPOSICION'!F37</f>
        <v/>
      </c>
      <c r="E9" s="237">
        <f>'A1 EXPOSICION'!G37</f>
        <v/>
      </c>
      <c r="F9" s="238">
        <f>IFERROR(INDEX(PARAMETROS!$E$15:$E$19,MATCH(E9,PARAMETROS!$B$15:$B$19,1)),"")</f>
        <v/>
      </c>
    </row>
    <row r="10" ht="15" customHeight="1" s="173">
      <c r="B10" s="236" t="inlineStr">
        <is>
          <t>4. Transacciones y canales</t>
        </is>
      </c>
      <c r="C10" s="237">
        <f>'A1 EXPOSICION'!E38</f>
        <v/>
      </c>
      <c r="D10" s="237">
        <f>'A1 EXPOSICION'!F38</f>
        <v/>
      </c>
      <c r="E10" s="237">
        <f>'A1 EXPOSICION'!G38</f>
        <v/>
      </c>
      <c r="F10" s="238">
        <f>IFERROR(INDEX(PARAMETROS!$E$15:$E$19,MATCH(E10,PARAMETROS!$B$15:$B$19,1)),"")</f>
        <v/>
      </c>
    </row>
    <row r="12" ht="15" customHeight="1" s="173">
      <c r="B12" s="239" t="inlineStr">
        <is>
          <t>RIESGO INHERENTE DE LA ENTIDAD</t>
        </is>
      </c>
      <c r="C12" s="224">
        <f>'A1 EXPOSICION'!E40</f>
        <v/>
      </c>
      <c r="D12" s="224">
        <f>'A1 EXPOSICION'!F40</f>
        <v/>
      </c>
      <c r="E12" s="224">
        <f>'A1 EXPOSICION'!G40</f>
        <v/>
      </c>
      <c r="F12" s="225">
        <f>IFERROR(INDEX(PARAMETROS!$E$15:$E$19,MATCH(E12,PARAMETROS!$B$15:$B$19,1)),"")</f>
        <v/>
      </c>
    </row>
    <row r="14" ht="15" customHeight="1" s="173">
      <c r="B14" s="216" t="inlineStr">
        <is>
          <t>RIESGO INHERENTE POR INDICADOR</t>
        </is>
      </c>
    </row>
    <row r="15" ht="15" customHeight="1" s="173">
      <c r="B15" s="178" t="inlineStr">
        <is>
          <t>#</t>
        </is>
      </c>
      <c r="C15" s="178" t="inlineStr">
        <is>
          <t>Indicador</t>
        </is>
      </c>
      <c r="D15" s="178" t="inlineStr">
        <is>
          <t>Calif.</t>
        </is>
      </c>
      <c r="E15" s="178" t="inlineStr">
        <is>
          <t>Conc.</t>
        </is>
      </c>
      <c r="F15" s="178" t="inlineStr">
        <is>
          <t>Riesgo</t>
        </is>
      </c>
      <c r="G15" s="178" t="inlineStr">
        <is>
          <t>Nivel</t>
        </is>
      </c>
    </row>
    <row r="16" ht="15" customHeight="1" s="173">
      <c r="B16" s="220" t="n">
        <v>1</v>
      </c>
      <c r="C16" s="236">
        <f>'A1 EXPOSICION'!D7</f>
        <v/>
      </c>
      <c r="D16" s="220">
        <f>IF('A1 EXPOSICION'!$G7="No","N/A",'A1 EXPOSICION'!P7)</f>
        <v/>
      </c>
      <c r="E16" s="220">
        <f>IF('A1 EXPOSICION'!$G7="No","N/A",'A1 EXPOSICION'!Q7)</f>
        <v/>
      </c>
      <c r="F16" s="220">
        <f>IF('A1 EXPOSICION'!$G7="No","N/A",'A1 EXPOSICION'!R7)</f>
        <v/>
      </c>
      <c r="G16" s="220">
        <f>IF('A1 EXPOSICION'!$G7="No","No aplica",IFERROR(INDEX(PARAMETROS!$E$15:$E$19,MATCH(F16,PARAMETROS!$B$15:$B$19,1)),""))</f>
        <v/>
      </c>
    </row>
    <row r="17" ht="15" customHeight="1" s="173">
      <c r="B17" s="220" t="n">
        <v>2</v>
      </c>
      <c r="C17" s="236">
        <f>'A1 EXPOSICION'!D8</f>
        <v/>
      </c>
      <c r="D17" s="220">
        <f>IF('A1 EXPOSICION'!$G8="No","N/A",'A1 EXPOSICION'!P8)</f>
        <v/>
      </c>
      <c r="E17" s="220">
        <f>IF('A1 EXPOSICION'!$G8="No","N/A",'A1 EXPOSICION'!Q8)</f>
        <v/>
      </c>
      <c r="F17" s="220">
        <f>IF('A1 EXPOSICION'!$G8="No","N/A",'A1 EXPOSICION'!R8)</f>
        <v/>
      </c>
      <c r="G17" s="220">
        <f>IF('A1 EXPOSICION'!$G8="No","No aplica",IFERROR(INDEX(PARAMETROS!$E$15:$E$19,MATCH(F17,PARAMETROS!$B$15:$B$19,1)),""))</f>
        <v/>
      </c>
    </row>
    <row r="18" ht="15" customHeight="1" s="173">
      <c r="B18" s="220" t="n">
        <v>3</v>
      </c>
      <c r="C18" s="236">
        <f>'A1 EXPOSICION'!D9</f>
        <v/>
      </c>
      <c r="D18" s="220">
        <f>IF('A1 EXPOSICION'!$G9="No","N/A",'A1 EXPOSICION'!P9)</f>
        <v/>
      </c>
      <c r="E18" s="220">
        <f>IF('A1 EXPOSICION'!$G9="No","N/A",'A1 EXPOSICION'!Q9)</f>
        <v/>
      </c>
      <c r="F18" s="220">
        <f>IF('A1 EXPOSICION'!$G9="No","N/A",'A1 EXPOSICION'!R9)</f>
        <v/>
      </c>
      <c r="G18" s="220">
        <f>IF('A1 EXPOSICION'!$G9="No","No aplica",IFERROR(INDEX(PARAMETROS!$E$15:$E$19,MATCH(F18,PARAMETROS!$B$15:$B$19,1)),""))</f>
        <v/>
      </c>
    </row>
    <row r="19" ht="15" customHeight="1" s="173">
      <c r="B19" s="220" t="n">
        <v>4</v>
      </c>
      <c r="C19" s="236">
        <f>'A1 EXPOSICION'!D10</f>
        <v/>
      </c>
      <c r="D19" s="220">
        <f>IF('A1 EXPOSICION'!$G10="No","N/A",'A1 EXPOSICION'!P10)</f>
        <v/>
      </c>
      <c r="E19" s="220">
        <f>IF('A1 EXPOSICION'!$G10="No","N/A",'A1 EXPOSICION'!Q10)</f>
        <v/>
      </c>
      <c r="F19" s="220">
        <f>IF('A1 EXPOSICION'!$G10="No","N/A",'A1 EXPOSICION'!R10)</f>
        <v/>
      </c>
      <c r="G19" s="220">
        <f>IF('A1 EXPOSICION'!$G10="No","No aplica",IFERROR(INDEX(PARAMETROS!$E$15:$E$19,MATCH(F19,PARAMETROS!$B$15:$B$19,1)),""))</f>
        <v/>
      </c>
    </row>
    <row r="20" ht="15" customHeight="1" s="173">
      <c r="B20" s="220" t="n">
        <v>5</v>
      </c>
      <c r="C20" s="236">
        <f>'A1 EXPOSICION'!D11</f>
        <v/>
      </c>
      <c r="D20" s="220">
        <f>IF('A1 EXPOSICION'!$G11="No","N/A",'A1 EXPOSICION'!P11)</f>
        <v/>
      </c>
      <c r="E20" s="220">
        <f>IF('A1 EXPOSICION'!$G11="No","N/A",'A1 EXPOSICION'!Q11)</f>
        <v/>
      </c>
      <c r="F20" s="220">
        <f>IF('A1 EXPOSICION'!$G11="No","N/A",'A1 EXPOSICION'!R11)</f>
        <v/>
      </c>
      <c r="G20" s="220">
        <f>IF('A1 EXPOSICION'!$G11="No","No aplica",IFERROR(INDEX(PARAMETROS!$E$15:$E$19,MATCH(F20,PARAMETROS!$B$15:$B$19,1)),""))</f>
        <v/>
      </c>
    </row>
    <row r="21" ht="15" customHeight="1" s="173">
      <c r="B21" s="220" t="n">
        <v>6</v>
      </c>
      <c r="C21" s="236">
        <f>'A1 EXPOSICION'!D12</f>
        <v/>
      </c>
      <c r="D21" s="220">
        <f>IF('A1 EXPOSICION'!$G12="No","N/A",'A1 EXPOSICION'!P12)</f>
        <v/>
      </c>
      <c r="E21" s="220">
        <f>IF('A1 EXPOSICION'!$G12="No","N/A",'A1 EXPOSICION'!Q12)</f>
        <v/>
      </c>
      <c r="F21" s="220">
        <f>IF('A1 EXPOSICION'!$G12="No","N/A",'A1 EXPOSICION'!R12)</f>
        <v/>
      </c>
      <c r="G21" s="220">
        <f>IF('A1 EXPOSICION'!$G12="No","No aplica",IFERROR(INDEX(PARAMETROS!$E$15:$E$19,MATCH(F21,PARAMETROS!$B$15:$B$19,1)),""))</f>
        <v/>
      </c>
    </row>
    <row r="22" ht="15" customHeight="1" s="173">
      <c r="B22" s="220" t="n">
        <v>7</v>
      </c>
      <c r="C22" s="236">
        <f>'A1 EXPOSICION'!D13</f>
        <v/>
      </c>
      <c r="D22" s="220">
        <f>IF('A1 EXPOSICION'!$G13="No","N/A",'A1 EXPOSICION'!P13)</f>
        <v/>
      </c>
      <c r="E22" s="220">
        <f>IF('A1 EXPOSICION'!$G13="No","N/A",'A1 EXPOSICION'!Q13)</f>
        <v/>
      </c>
      <c r="F22" s="220">
        <f>IF('A1 EXPOSICION'!$G13="No","N/A",'A1 EXPOSICION'!R13)</f>
        <v/>
      </c>
      <c r="G22" s="220">
        <f>IF('A1 EXPOSICION'!$G13="No","No aplica",IFERROR(INDEX(PARAMETROS!$E$15:$E$19,MATCH(F22,PARAMETROS!$B$15:$B$19,1)),""))</f>
        <v/>
      </c>
    </row>
    <row r="23" ht="15" customHeight="1" s="173">
      <c r="B23" s="220" t="n">
        <v>8</v>
      </c>
      <c r="C23" s="236">
        <f>'A1 EXPOSICION'!D14</f>
        <v/>
      </c>
      <c r="D23" s="220">
        <f>IF('A1 EXPOSICION'!$G14="No","N/A",'A1 EXPOSICION'!P14)</f>
        <v/>
      </c>
      <c r="E23" s="220">
        <f>IF('A1 EXPOSICION'!$G14="No","N/A",'A1 EXPOSICION'!Q14)</f>
        <v/>
      </c>
      <c r="F23" s="220">
        <f>IF('A1 EXPOSICION'!$G14="No","N/A",'A1 EXPOSICION'!R14)</f>
        <v/>
      </c>
      <c r="G23" s="220">
        <f>IF('A1 EXPOSICION'!$G14="No","No aplica",IFERROR(INDEX(PARAMETROS!$E$15:$E$19,MATCH(F23,PARAMETROS!$B$15:$B$19,1)),""))</f>
        <v/>
      </c>
    </row>
    <row r="24" ht="15" customHeight="1" s="173">
      <c r="B24" s="220" t="n">
        <v>9</v>
      </c>
      <c r="C24" s="236">
        <f>'A1 EXPOSICION'!D15</f>
        <v/>
      </c>
      <c r="D24" s="220">
        <f>IF('A1 EXPOSICION'!$G15="No","N/A",'A1 EXPOSICION'!P15)</f>
        <v/>
      </c>
      <c r="E24" s="220">
        <f>IF('A1 EXPOSICION'!$G15="No","N/A",'A1 EXPOSICION'!Q15)</f>
        <v/>
      </c>
      <c r="F24" s="220">
        <f>IF('A1 EXPOSICION'!$G15="No","N/A",'A1 EXPOSICION'!R15)</f>
        <v/>
      </c>
      <c r="G24" s="220">
        <f>IF('A1 EXPOSICION'!$G15="No","No aplica",IFERROR(INDEX(PARAMETROS!$E$15:$E$19,MATCH(F24,PARAMETROS!$B$15:$B$19,1)),""))</f>
        <v/>
      </c>
    </row>
    <row r="25" ht="15" customHeight="1" s="173">
      <c r="B25" s="220" t="n">
        <v>10</v>
      </c>
      <c r="C25" s="236">
        <f>'A1 EXPOSICION'!D16</f>
        <v/>
      </c>
      <c r="D25" s="220">
        <f>IF('A1 EXPOSICION'!$G16="No","N/A",'A1 EXPOSICION'!P16)</f>
        <v/>
      </c>
      <c r="E25" s="220">
        <f>IF('A1 EXPOSICION'!$G16="No","N/A",'A1 EXPOSICION'!Q16)</f>
        <v/>
      </c>
      <c r="F25" s="220">
        <f>IF('A1 EXPOSICION'!$G16="No","N/A",'A1 EXPOSICION'!R16)</f>
        <v/>
      </c>
      <c r="G25" s="220">
        <f>IF('A1 EXPOSICION'!$G16="No","No aplica",IFERROR(INDEX(PARAMETROS!$E$15:$E$19,MATCH(F25,PARAMETROS!$B$15:$B$19,1)),""))</f>
        <v/>
      </c>
    </row>
    <row r="26" ht="15" customHeight="1" s="173">
      <c r="B26" s="220" t="n">
        <v>11</v>
      </c>
      <c r="C26" s="236">
        <f>'A1 EXPOSICION'!D17</f>
        <v/>
      </c>
      <c r="D26" s="220">
        <f>IF('A1 EXPOSICION'!$G17="No","N/A",'A1 EXPOSICION'!P17)</f>
        <v/>
      </c>
      <c r="E26" s="220">
        <f>IF('A1 EXPOSICION'!$G17="No","N/A",'A1 EXPOSICION'!Q17)</f>
        <v/>
      </c>
      <c r="F26" s="220">
        <f>IF('A1 EXPOSICION'!$G17="No","N/A",'A1 EXPOSICION'!R17)</f>
        <v/>
      </c>
      <c r="G26" s="220">
        <f>IF('A1 EXPOSICION'!$G17="No","No aplica",IFERROR(INDEX(PARAMETROS!$E$15:$E$19,MATCH(F26,PARAMETROS!$B$15:$B$19,1)),""))</f>
        <v/>
      </c>
    </row>
    <row r="27" ht="15" customHeight="1" s="173">
      <c r="B27" s="220" t="n">
        <v>12</v>
      </c>
      <c r="C27" s="236">
        <f>'A1 EXPOSICION'!D18</f>
        <v/>
      </c>
      <c r="D27" s="220">
        <f>IF('A1 EXPOSICION'!$G18="No","N/A",'A1 EXPOSICION'!P18)</f>
        <v/>
      </c>
      <c r="E27" s="220">
        <f>IF('A1 EXPOSICION'!$G18="No","N/A",'A1 EXPOSICION'!Q18)</f>
        <v/>
      </c>
      <c r="F27" s="220">
        <f>IF('A1 EXPOSICION'!$G18="No","N/A",'A1 EXPOSICION'!R18)</f>
        <v/>
      </c>
      <c r="G27" s="220">
        <f>IF('A1 EXPOSICION'!$G18="No","No aplica",IFERROR(INDEX(PARAMETROS!$E$15:$E$19,MATCH(F27,PARAMETROS!$B$15:$B$19,1)),""))</f>
        <v/>
      </c>
    </row>
    <row r="28" ht="15" customHeight="1" s="173">
      <c r="B28" s="220" t="n">
        <v>13</v>
      </c>
      <c r="C28" s="236">
        <f>'A1 EXPOSICION'!D19</f>
        <v/>
      </c>
      <c r="D28" s="220">
        <f>IF('A1 EXPOSICION'!$G19="No","N/A",'A1 EXPOSICION'!P19)</f>
        <v/>
      </c>
      <c r="E28" s="220">
        <f>IF('A1 EXPOSICION'!$G19="No","N/A",'A1 EXPOSICION'!Q19)</f>
        <v/>
      </c>
      <c r="F28" s="220">
        <f>IF('A1 EXPOSICION'!$G19="No","N/A",'A1 EXPOSICION'!R19)</f>
        <v/>
      </c>
      <c r="G28" s="220">
        <f>IF('A1 EXPOSICION'!$G19="No","No aplica",IFERROR(INDEX(PARAMETROS!$E$15:$E$19,MATCH(F28,PARAMETROS!$B$15:$B$19,1)),""))</f>
        <v/>
      </c>
    </row>
    <row r="29" ht="15" customHeight="1" s="173">
      <c r="B29" s="220" t="n">
        <v>14</v>
      </c>
      <c r="C29" s="236">
        <f>'A1 EXPOSICION'!D20</f>
        <v/>
      </c>
      <c r="D29" s="220">
        <f>IF('A1 EXPOSICION'!$G20="No","N/A",'A1 EXPOSICION'!P20)</f>
        <v/>
      </c>
      <c r="E29" s="220">
        <f>IF('A1 EXPOSICION'!$G20="No","N/A",'A1 EXPOSICION'!Q20)</f>
        <v/>
      </c>
      <c r="F29" s="220">
        <f>IF('A1 EXPOSICION'!$G20="No","N/A",'A1 EXPOSICION'!R20)</f>
        <v/>
      </c>
      <c r="G29" s="220">
        <f>IF('A1 EXPOSICION'!$G20="No","No aplica",IFERROR(INDEX(PARAMETROS!$E$15:$E$19,MATCH(F29,PARAMETROS!$B$15:$B$19,1)),""))</f>
        <v/>
      </c>
    </row>
    <row r="30" ht="15" customHeight="1" s="173">
      <c r="B30" s="220" t="n">
        <v>15</v>
      </c>
      <c r="C30" s="236">
        <f>'A1 EXPOSICION'!D21</f>
        <v/>
      </c>
      <c r="D30" s="220">
        <f>IF('A1 EXPOSICION'!$G21="No","N/A",'A1 EXPOSICION'!P21)</f>
        <v/>
      </c>
      <c r="E30" s="220">
        <f>IF('A1 EXPOSICION'!$G21="No","N/A",'A1 EXPOSICION'!Q21)</f>
        <v/>
      </c>
      <c r="F30" s="220">
        <f>IF('A1 EXPOSICION'!$G21="No","N/A",'A1 EXPOSICION'!R21)</f>
        <v/>
      </c>
      <c r="G30" s="220">
        <f>IF('A1 EXPOSICION'!$G21="No","No aplica",IFERROR(INDEX(PARAMETROS!$E$15:$E$19,MATCH(F30,PARAMETROS!$B$15:$B$19,1)),""))</f>
        <v/>
      </c>
    </row>
    <row r="31" ht="15" customHeight="1" s="173">
      <c r="B31" s="220" t="n">
        <v>16</v>
      </c>
      <c r="C31" s="236">
        <f>'A1 EXPOSICION'!D22</f>
        <v/>
      </c>
      <c r="D31" s="220">
        <f>IF('A1 EXPOSICION'!$G22="No","N/A",'A1 EXPOSICION'!P22)</f>
        <v/>
      </c>
      <c r="E31" s="220">
        <f>IF('A1 EXPOSICION'!$G22="No","N/A",'A1 EXPOSICION'!Q22)</f>
        <v/>
      </c>
      <c r="F31" s="220">
        <f>IF('A1 EXPOSICION'!$G22="No","N/A",'A1 EXPOSICION'!R22)</f>
        <v/>
      </c>
      <c r="G31" s="220">
        <f>IF('A1 EXPOSICION'!$G22="No","No aplica",IFERROR(INDEX(PARAMETROS!$E$15:$E$19,MATCH(F31,PARAMETROS!$B$15:$B$19,1)),""))</f>
        <v/>
      </c>
    </row>
    <row r="32" ht="15" customHeight="1" s="173">
      <c r="B32" s="220" t="n">
        <v>17</v>
      </c>
      <c r="C32" s="236">
        <f>'A1 EXPOSICION'!D23</f>
        <v/>
      </c>
      <c r="D32" s="220">
        <f>IF('A1 EXPOSICION'!$G23="No","N/A",'A1 EXPOSICION'!P23)</f>
        <v/>
      </c>
      <c r="E32" s="220">
        <f>IF('A1 EXPOSICION'!$G23="No","N/A",'A1 EXPOSICION'!Q23)</f>
        <v/>
      </c>
      <c r="F32" s="220">
        <f>IF('A1 EXPOSICION'!$G23="No","N/A",'A1 EXPOSICION'!R23)</f>
        <v/>
      </c>
      <c r="G32" s="220">
        <f>IF('A1 EXPOSICION'!$G23="No","No aplica",IFERROR(INDEX(PARAMETROS!$E$15:$E$19,MATCH(F32,PARAMETROS!$B$15:$B$19,1)),""))</f>
        <v/>
      </c>
    </row>
    <row r="33" ht="15" customHeight="1" s="173">
      <c r="B33" s="220" t="n">
        <v>18</v>
      </c>
      <c r="C33" s="236">
        <f>'A1 EXPOSICION'!D24</f>
        <v/>
      </c>
      <c r="D33" s="220">
        <f>IF('A1 EXPOSICION'!$G24="No","N/A",'A1 EXPOSICION'!P24)</f>
        <v/>
      </c>
      <c r="E33" s="220">
        <f>IF('A1 EXPOSICION'!$G24="No","N/A",'A1 EXPOSICION'!Q24)</f>
        <v/>
      </c>
      <c r="F33" s="220">
        <f>IF('A1 EXPOSICION'!$G24="No","N/A",'A1 EXPOSICION'!R24)</f>
        <v/>
      </c>
      <c r="G33" s="220">
        <f>IF('A1 EXPOSICION'!$G24="No","No aplica",IFERROR(INDEX(PARAMETROS!$E$15:$E$19,MATCH(F33,PARAMETROS!$B$15:$B$19,1)),""))</f>
        <v/>
      </c>
    </row>
    <row r="34" ht="15" customHeight="1" s="173">
      <c r="B34" s="220" t="n">
        <v>19</v>
      </c>
      <c r="C34" s="236">
        <f>'A1 EXPOSICION'!D25</f>
        <v/>
      </c>
      <c r="D34" s="220">
        <f>IF('A1 EXPOSICION'!$G25="No","N/A",'A1 EXPOSICION'!P25)</f>
        <v/>
      </c>
      <c r="E34" s="220">
        <f>IF('A1 EXPOSICION'!$G25="No","N/A",'A1 EXPOSICION'!Q25)</f>
        <v/>
      </c>
      <c r="F34" s="220">
        <f>IF('A1 EXPOSICION'!$G25="No","N/A",'A1 EXPOSICION'!R25)</f>
        <v/>
      </c>
      <c r="G34" s="220">
        <f>IF('A1 EXPOSICION'!$G25="No","No aplica",IFERROR(INDEX(PARAMETROS!$E$15:$E$19,MATCH(F34,PARAMETROS!$B$15:$B$19,1)),""))</f>
        <v/>
      </c>
    </row>
    <row r="35" ht="15" customHeight="1" s="173">
      <c r="B35" s="220" t="n">
        <v>20</v>
      </c>
      <c r="C35" s="236">
        <f>'A1 EXPOSICION'!D26</f>
        <v/>
      </c>
      <c r="D35" s="220">
        <f>IF('A1 EXPOSICION'!$G26="No","N/A",'A1 EXPOSICION'!P26)</f>
        <v/>
      </c>
      <c r="E35" s="220">
        <f>IF('A1 EXPOSICION'!$G26="No","N/A",'A1 EXPOSICION'!Q26)</f>
        <v/>
      </c>
      <c r="F35" s="220">
        <f>IF('A1 EXPOSICION'!$G26="No","N/A",'A1 EXPOSICION'!R26)</f>
        <v/>
      </c>
      <c r="G35" s="220">
        <f>IF('A1 EXPOSICION'!$G26="No","No aplica",IFERROR(INDEX(PARAMETROS!$E$15:$E$19,MATCH(F35,PARAMETROS!$B$15:$B$19,1)),""))</f>
        <v/>
      </c>
    </row>
    <row r="36" ht="15" customHeight="1" s="173">
      <c r="B36" s="220" t="n">
        <v>21</v>
      </c>
      <c r="C36" s="236">
        <f>'A1 EXPOSICION'!D27</f>
        <v/>
      </c>
      <c r="D36" s="220">
        <f>IF('A1 EXPOSICION'!$G27="No","N/A",'A1 EXPOSICION'!P27)</f>
        <v/>
      </c>
      <c r="E36" s="220">
        <f>IF('A1 EXPOSICION'!$G27="No","N/A",'A1 EXPOSICION'!Q27)</f>
        <v/>
      </c>
      <c r="F36" s="220">
        <f>IF('A1 EXPOSICION'!$G27="No","N/A",'A1 EXPOSICION'!R27)</f>
        <v/>
      </c>
      <c r="G36" s="220">
        <f>IF('A1 EXPOSICION'!$G27="No","No aplica",IFERROR(INDEX(PARAMETROS!$E$15:$E$19,MATCH(F36,PARAMETROS!$B$15:$B$19,1)),""))</f>
        <v/>
      </c>
    </row>
    <row r="37" ht="15" customHeight="1" s="173">
      <c r="B37" s="220" t="n">
        <v>22</v>
      </c>
      <c r="C37" s="236">
        <f>'A1 EXPOSICION'!D28</f>
        <v/>
      </c>
      <c r="D37" s="220">
        <f>IF('A1 EXPOSICION'!$G28="No","N/A",'A1 EXPOSICION'!P28)</f>
        <v/>
      </c>
      <c r="E37" s="220">
        <f>IF('A1 EXPOSICION'!$G28="No","N/A",'A1 EXPOSICION'!Q28)</f>
        <v/>
      </c>
      <c r="F37" s="220">
        <f>IF('A1 EXPOSICION'!$G28="No","N/A",'A1 EXPOSICION'!R28)</f>
        <v/>
      </c>
      <c r="G37" s="220">
        <f>IF('A1 EXPOSICION'!$G28="No","No aplica",IFERROR(INDEX(PARAMETROS!$E$15:$E$19,MATCH(F37,PARAMETROS!$B$15:$B$19,1)),""))</f>
        <v/>
      </c>
    </row>
    <row r="38" ht="15" customHeight="1" s="173">
      <c r="B38" s="220" t="n">
        <v>23</v>
      </c>
      <c r="C38" s="236">
        <f>'A1 EXPOSICION'!D29</f>
        <v/>
      </c>
      <c r="D38" s="220">
        <f>IF('A1 EXPOSICION'!$G29="No","N/A",'A1 EXPOSICION'!P29)</f>
        <v/>
      </c>
      <c r="E38" s="220">
        <f>IF('A1 EXPOSICION'!$G29="No","N/A",'A1 EXPOSICION'!Q29)</f>
        <v/>
      </c>
      <c r="F38" s="220">
        <f>IF('A1 EXPOSICION'!$G29="No","N/A",'A1 EXPOSICION'!R29)</f>
        <v/>
      </c>
      <c r="G38" s="220">
        <f>IF('A1 EXPOSICION'!$G29="No","No aplica",IFERROR(INDEX(PARAMETROS!$E$15:$E$19,MATCH(F38,PARAMETROS!$B$15:$B$19,1)),""))</f>
        <v/>
      </c>
    </row>
    <row r="39" ht="15" customHeight="1" s="173">
      <c r="B39" s="220" t="n">
        <v>24</v>
      </c>
      <c r="C39" s="236">
        <f>'A1 EXPOSICION'!D30</f>
        <v/>
      </c>
      <c r="D39" s="220">
        <f>IF('A1 EXPOSICION'!$G30="No","N/A",'A1 EXPOSICION'!P30)</f>
        <v/>
      </c>
      <c r="E39" s="220">
        <f>IF('A1 EXPOSICION'!$G30="No","N/A",'A1 EXPOSICION'!Q30)</f>
        <v/>
      </c>
      <c r="F39" s="220">
        <f>IF('A1 EXPOSICION'!$G30="No","N/A",'A1 EXPOSICION'!R30)</f>
        <v/>
      </c>
      <c r="G39" s="220">
        <f>IF('A1 EXPOSICION'!$G30="No","No aplica",IFERROR(INDEX(PARAMETROS!$E$15:$E$19,MATCH(F39,PARAMETROS!$B$15:$B$19,1)),""))</f>
        <v/>
      </c>
    </row>
    <row r="40" ht="15" customHeight="1" s="173">
      <c r="B40" s="220" t="n">
        <v>25</v>
      </c>
      <c r="C40" s="236">
        <f>'A1 EXPOSICION'!D31</f>
        <v/>
      </c>
      <c r="D40" s="220">
        <f>IF('A1 EXPOSICION'!$G31="No","N/A",'A1 EXPOSICION'!P31)</f>
        <v/>
      </c>
      <c r="E40" s="220">
        <f>IF('A1 EXPOSICION'!$G31="No","N/A",'A1 EXPOSICION'!Q31)</f>
        <v/>
      </c>
      <c r="F40" s="220">
        <f>IF('A1 EXPOSICION'!$G31="No","N/A",'A1 EXPOSICION'!R31)</f>
        <v/>
      </c>
      <c r="G40" s="220">
        <f>IF('A1 EXPOSICION'!$G31="No","No aplica",IFERROR(INDEX(PARAMETROS!$E$15:$E$19,MATCH(F40,PARAMETROS!$B$15:$B$19,1)),""))</f>
        <v/>
      </c>
    </row>
    <row r="41" ht="45.75" customHeight="1" s="173">
      <c r="B41" s="240" t="inlineStr">
        <is>
          <t>Un indicador marcado «No aplica» en A1 se muestra aquí como «No aplica», no como riesgo cero: no se evaluó, no es que haya salido bajo. Sale del numerador y del denominador del elemento.</t>
        </is>
      </c>
    </row>
    <row r="43" ht="15" customHeight="1" s="173">
      <c r="B43" s="216" t="inlineStr">
        <is>
          <t>MAPA DE CALOR — Calificación (col) × Concentración (fila)</t>
        </is>
      </c>
    </row>
    <row r="44" ht="15" customHeight="1" s="173">
      <c r="B44" s="241" t="inlineStr">
        <is>
          <t>Conc\Calif</t>
        </is>
      </c>
      <c r="C44" s="241" t="n">
        <v>1</v>
      </c>
      <c r="D44" s="241" t="n">
        <v>2</v>
      </c>
      <c r="E44" s="241" t="n">
        <v>3</v>
      </c>
      <c r="F44" s="241" t="n">
        <v>4</v>
      </c>
      <c r="G44" s="241" t="n">
        <v>5</v>
      </c>
    </row>
    <row r="45" ht="15" customHeight="1" s="173">
      <c r="B45" s="229" t="n">
        <v>5</v>
      </c>
      <c r="C45" s="242" t="n">
        <v>5</v>
      </c>
      <c r="D45" s="243" t="n">
        <v>10</v>
      </c>
      <c r="E45" s="244" t="n">
        <v>15</v>
      </c>
      <c r="F45" s="245" t="n">
        <v>20</v>
      </c>
      <c r="G45" s="245" t="n">
        <v>25</v>
      </c>
    </row>
    <row r="46" ht="15" customHeight="1" s="173">
      <c r="B46" s="229" t="n">
        <v>4</v>
      </c>
      <c r="C46" s="242" t="n">
        <v>4</v>
      </c>
      <c r="D46" s="246" t="n">
        <v>8</v>
      </c>
      <c r="E46" s="243" t="n">
        <v>12</v>
      </c>
      <c r="F46" s="244" t="n">
        <v>16</v>
      </c>
      <c r="G46" s="245" t="n">
        <v>20</v>
      </c>
    </row>
    <row r="47" ht="15" customHeight="1" s="173">
      <c r="B47" s="229" t="n">
        <v>3</v>
      </c>
      <c r="C47" s="242" t="n">
        <v>3</v>
      </c>
      <c r="D47" s="246" t="n">
        <v>6</v>
      </c>
      <c r="E47" s="246" t="n">
        <v>9</v>
      </c>
      <c r="F47" s="243" t="n">
        <v>12</v>
      </c>
      <c r="G47" s="244" t="n">
        <v>15</v>
      </c>
    </row>
    <row r="48" ht="15" customHeight="1" s="173">
      <c r="B48" s="229" t="n">
        <v>2</v>
      </c>
      <c r="C48" s="242" t="n">
        <v>2</v>
      </c>
      <c r="D48" s="242" t="n">
        <v>4</v>
      </c>
      <c r="E48" s="246" t="n">
        <v>6</v>
      </c>
      <c r="F48" s="246" t="n">
        <v>8</v>
      </c>
      <c r="G48" s="243" t="n">
        <v>10</v>
      </c>
    </row>
    <row r="49" ht="15" customHeight="1" s="173">
      <c r="B49" s="229" t="n">
        <v>1</v>
      </c>
      <c r="C49" s="242" t="n">
        <v>1</v>
      </c>
      <c r="D49" s="242" t="n">
        <v>2</v>
      </c>
      <c r="E49" s="242" t="n">
        <v>3</v>
      </c>
      <c r="F49" s="242" t="n">
        <v>4</v>
      </c>
      <c r="G49" s="242" t="n">
        <v>5</v>
      </c>
    </row>
    <row r="51" ht="15" customHeight="1" s="173">
      <c r="B51" s="229" t="inlineStr">
        <is>
          <t>Tu entidad (nivel inherente):</t>
        </is>
      </c>
      <c r="D51" s="247">
        <f>'A3 INHERENTE'!$F$12</f>
        <v/>
      </c>
    </row>
  </sheetData>
  <mergeCells count="4">
    <mergeCell ref="B5:G5"/>
    <mergeCell ref="B14:G14"/>
    <mergeCell ref="B51:C51"/>
    <mergeCell ref="B43:G43"/>
  </mergeCells>
  <conditionalFormatting sqref="F7:F10">
    <cfRule type="expression" rank="0" priority="2" equalAverage="0" aboveAverage="0" dxfId="2" text="" percent="0" bottom="0">
      <formula>EXACT(F7,"BAJO")</formula>
    </cfRule>
    <cfRule type="expression" rank="0" priority="3" equalAverage="0" aboveAverage="0" dxfId="3" text="" percent="0" bottom="0">
      <formula>EXACT(F7,"MEDIO BAJO")</formula>
    </cfRule>
    <cfRule type="expression" rank="0" priority="4" equalAverage="0" aboveAverage="0" dxfId="4" text="" percent="0" bottom="0">
      <formula>EXACT(F7,"MEDIO")</formula>
    </cfRule>
    <cfRule type="expression" rank="0" priority="5" equalAverage="0" aboveAverage="0" dxfId="5" text="" percent="0" bottom="0">
      <formula>EXACT(F7,"MEDIO ALTO")</formula>
    </cfRule>
    <cfRule type="expression" rank="0" priority="6" equalAverage="0" aboveAverage="0" dxfId="6" text="" percent="0" bottom="0">
      <formula>EXACT(F7,"ALTO")</formula>
    </cfRule>
  </conditionalFormatting>
  <conditionalFormatting sqref="F12">
    <cfRule type="expression" rank="0" priority="7" equalAverage="0" aboveAverage="0" dxfId="2" text="" percent="0" bottom="0">
      <formula>EXACT(F12,"BAJO")</formula>
    </cfRule>
    <cfRule type="expression" rank="0" priority="8" equalAverage="0" aboveAverage="0" dxfId="3" text="" percent="0" bottom="0">
      <formula>EXACT(F12,"MEDIO BAJO")</formula>
    </cfRule>
    <cfRule type="expression" rank="0" priority="9" equalAverage="0" aboveAverage="0" dxfId="4" text="" percent="0" bottom="0">
      <formula>EXACT(F12,"MEDIO")</formula>
    </cfRule>
    <cfRule type="expression" rank="0" priority="10" equalAverage="0" aboveAverage="0" dxfId="5" text="" percent="0" bottom="0">
      <formula>EXACT(F12,"MEDIO ALTO")</formula>
    </cfRule>
    <cfRule type="expression" rank="0" priority="11" equalAverage="0" aboveAverage="0" dxfId="6" text="" percent="0" bottom="0">
      <formula>EXACT(F12,"ALTO")</formula>
    </cfRule>
  </conditionalFormatting>
  <conditionalFormatting sqref="G16:G40">
    <cfRule type="expression" rank="0" priority="12" equalAverage="0" aboveAverage="0" dxfId="2" text="" percent="0" bottom="0">
      <formula>EXACT(G16,"BAJO")</formula>
    </cfRule>
    <cfRule type="expression" rank="0" priority="13" equalAverage="0" aboveAverage="0" dxfId="3" text="" percent="0" bottom="0">
      <formula>EXACT(G16,"MEDIO BAJO")</formula>
    </cfRule>
    <cfRule type="expression" rank="0" priority="14" equalAverage="0" aboveAverage="0" dxfId="4" text="" percent="0" bottom="0">
      <formula>EXACT(G16,"MEDIO")</formula>
    </cfRule>
    <cfRule type="expression" rank="0" priority="15" equalAverage="0" aboveAverage="0" dxfId="5" text="" percent="0" bottom="0">
      <formula>EXACT(G16,"MEDIO ALTO")</formula>
    </cfRule>
    <cfRule type="expression" rank="0" priority="16" equalAverage="0" aboveAverage="0" dxfId="6" text="" percent="0" bottom="0">
      <formula>EXACT(G16,"ALTO")</formula>
    </cfRule>
  </conditionalFormatting>
  <conditionalFormatting sqref="D51">
    <cfRule type="expression" rank="0" priority="17" equalAverage="0" aboveAverage="0" dxfId="2" text="" percent="0" bottom="0">
      <formula>EXACT(D51,"BAJO")</formula>
    </cfRule>
    <cfRule type="expression" rank="0" priority="18" equalAverage="0" aboveAverage="0" dxfId="3" text="" percent="0" bottom="0">
      <formula>EXACT(D51,"MEDIO BAJO")</formula>
    </cfRule>
    <cfRule type="expression" rank="0" priority="19" equalAverage="0" aboveAverage="0" dxfId="4" text="" percent="0" bottom="0">
      <formula>EXACT(D51,"MEDIO")</formula>
    </cfRule>
    <cfRule type="expression" rank="0" priority="20" equalAverage="0" aboveAverage="0" dxfId="5" text="" percent="0" bottom="0">
      <formula>EXACT(D51,"MEDIO ALTO")</formula>
    </cfRule>
    <cfRule type="expression" rank="0" priority="21" equalAverage="0" aboveAverage="0" dxfId="6" text="" percent="0" bottom="0">
      <formula>EXACT(D51,"ALTO")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C000"/>
    <outlinePr summaryBelow="1" summaryRight="1"/>
    <pageSetUpPr fitToPage="0"/>
  </sheetPr>
  <dimension ref="B2:L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6" customWidth="1" style="172" min="2" max="2"/>
    <col width="42" customWidth="1" style="172" min="3" max="3"/>
    <col width="30" customWidth="1" style="172" min="4" max="4"/>
    <col width="48" customWidth="1" style="172" min="5" max="5"/>
    <col width="12" customWidth="1" style="172" min="6" max="6"/>
    <col width="22" customWidth="1" style="172" min="7" max="7"/>
    <col width="8" customWidth="1" style="172" min="8" max="8"/>
    <col width="22" customWidth="1" style="172" min="9" max="9"/>
    <col width="46" customWidth="1" style="172" min="10" max="10"/>
    <col width="34" customWidth="1" style="172" min="11" max="11"/>
    <col width="40" customWidth="1" style="172" min="12" max="12"/>
  </cols>
  <sheetData>
    <row r="2" ht="17.25" customHeight="1" s="173">
      <c r="B2" s="248" t="inlineStr">
        <is>
          <t>A4 · CATÁLOGO DE CONTROLES MÍNIMOS — las 14 obligaciones del Manual (Art. 37 Bis)</t>
        </is>
      </c>
    </row>
    <row r="3" ht="501.75" customHeight="1" s="173">
      <c r="B3" s="249" t="inlineStr">
        <is>
          <t>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is>
      </c>
    </row>
    <row r="4" ht="15" customHeight="1" s="173">
      <c r="B4" s="177" t="inlineStr">
        <is>
          <t>Paso 6 de 10  ·  Viene de: A3 INHERENTE  ·  Sigue: A5 RESIDUAL  ·  Controles por encima del mínimo: A4 BIS</t>
        </is>
      </c>
    </row>
    <row r="6" ht="33.75" customHeight="1" s="173">
      <c r="B6" s="250" t="inlineStr">
        <is>
          <t>Fr.</t>
        </is>
      </c>
      <c r="C6" s="250" t="inlineStr">
        <is>
          <t>Contenido mínimo del Manual (Art. 37 Bis)</t>
        </is>
      </c>
      <c r="D6" s="250" t="inlineStr">
        <is>
          <t>Fundamento verificado</t>
        </is>
      </c>
      <c r="E6" s="250" t="inlineStr">
        <is>
          <t>Qué se espera (referencia)</t>
        </is>
      </c>
      <c r="F6" s="250" t="inlineStr">
        <is>
          <t>¿Admite
«No aplica»?</t>
        </is>
      </c>
      <c r="G6" s="250" t="inlineStr">
        <is>
          <t>Resultado (Art. 48)</t>
        </is>
      </c>
      <c r="H6" s="250" t="inlineStr">
        <is>
          <t>%</t>
        </is>
      </c>
      <c r="I6" s="250" t="inlineStr">
        <is>
          <t>Numeral del Manual que lo prevé</t>
        </is>
      </c>
      <c r="J6" s="250" t="inlineStr">
        <is>
          <t>Evidencia de aplicación efectiva y dónde se resguarda</t>
        </is>
      </c>
      <c r="K6" s="250" t="inlineStr">
        <is>
          <t>Justificación del «No aplica» (numeral del Manual, Art. 37 Bis 2)</t>
        </is>
      </c>
      <c r="L6" s="250" t="inlineStr">
        <is>
          <t>Aviso</t>
        </is>
      </c>
    </row>
    <row r="7" ht="57.75" customHeight="1" s="173">
      <c r="B7" s="251" t="inlineStr">
        <is>
          <t>I</t>
        </is>
      </c>
      <c r="C7" s="252" t="inlineStr">
        <is>
          <t>Criterios para la identificación y conocimiento de Clientes o Usuarias</t>
        </is>
      </c>
      <c r="D7" s="252" t="inlineStr">
        <is>
          <t>Arts. 12, 17 y 17 Bis; Cap. III Ter</t>
        </is>
      </c>
      <c r="E7" s="252" t="inlineStr">
        <is>
          <t>Procedimiento escrito para integrar el expediente según el Grado de Riesgo, con los datos y documentos de los Anexos aplicables a tu fracción, verificación de identidad y cuestionario de conocimiento del Cliente.</t>
        </is>
      </c>
      <c r="F7" s="253" t="inlineStr">
        <is>
          <t>No</t>
        </is>
      </c>
      <c r="G7" s="254" t="n"/>
      <c r="H7" s="255">
        <f>IF($G7="","",IF($G7="No aplica","",IF(OR($I7="",$J7=""),0,IFERROR(INDEX(PARAMETROS!$I$15:$I$18,MATCH($G7,PARAMETROS!$H$15:$H$18,0)),0))))</f>
        <v/>
      </c>
      <c r="I7" s="254" t="inlineStr">
        <is>
          <t>Manual, numeral 4.1</t>
        </is>
      </c>
      <c r="J7" s="254" t="n"/>
      <c r="K7" s="254" t="n"/>
      <c r="L7" s="256">
        <f>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
      </c>
    </row>
    <row r="8" ht="57.75" customHeight="1" s="173">
      <c r="B8" s="251" t="inlineStr">
        <is>
          <t>II</t>
        </is>
      </c>
      <c r="C8" s="252" t="inlineStr">
        <is>
          <t>Mecanismos de clasificación de Riesgo</t>
        </is>
      </c>
      <c r="D8" s="252" t="inlineStr">
        <is>
          <t>Art. 23 Bis</t>
        </is>
      </c>
      <c r="E8" s="252" t="inlineStr">
        <is>
          <t>Modelo escrito que califique a cada Cliente en al menos tres grados, congruente con esta metodología, con reevaluación al menos cada seis meses (hoja B CLIENTE).</t>
        </is>
      </c>
      <c r="F8" s="253" t="inlineStr">
        <is>
          <t>No</t>
        </is>
      </c>
      <c r="G8" s="254" t="n"/>
      <c r="H8" s="255">
        <f>IF($G8="","",IF($G8="No aplica","",IF(OR($I8="",$J8=""),0,IFERROR(INDEX(PARAMETROS!$I$15:$I$18,MATCH($G8,PARAMETROS!$H$15:$H$18,0)),0))))</f>
        <v/>
      </c>
      <c r="I8" s="254" t="inlineStr">
        <is>
          <t>Manual, numeral 4.3</t>
        </is>
      </c>
      <c r="J8" s="254" t="n"/>
      <c r="K8" s="254" t="n"/>
      <c r="L8" s="256">
        <f>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
      </c>
    </row>
    <row r="9" ht="57.75" customHeight="1" s="173">
      <c r="B9" s="251" t="inlineStr">
        <is>
          <t>III</t>
        </is>
      </c>
      <c r="C9" s="252" t="inlineStr">
        <is>
          <t>Medidas de debida diligencia aplicables conforme al Grado de Riesgo</t>
        </is>
      </c>
      <c r="D9" s="252" t="inlineStr">
        <is>
          <t>Arts. 17 y 17 Bis; Arts. 23 Ter 1 a 5</t>
        </is>
      </c>
      <c r="E9" s="252" t="inlineStr">
        <is>
          <t>Regla explícita de qué expediente corresponde a cada grado: simplificado, completo del Art. 12, o reforzado con cuestionario y Firma Electrónica.</t>
        </is>
      </c>
      <c r="F9" s="253" t="inlineStr">
        <is>
          <t>No</t>
        </is>
      </c>
      <c r="G9" s="254" t="n"/>
      <c r="H9" s="255">
        <f>IF($G9="","",IF($G9="No aplica","",IF(OR($I9="",$J9=""),0,IFERROR(INDEX(PARAMETROS!$I$15:$I$18,MATCH($G9,PARAMETROS!$H$15:$H$18,0)),0))))</f>
        <v/>
      </c>
      <c r="I9" s="254" t="inlineStr">
        <is>
          <t>Manual, numeral 4.4</t>
        </is>
      </c>
      <c r="J9" s="254" t="n"/>
      <c r="K9" s="254" t="n"/>
      <c r="L9" s="256">
        <f>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
      </c>
    </row>
    <row r="10" ht="57.75" customHeight="1" s="173">
      <c r="B10" s="251" t="inlineStr">
        <is>
          <t>IV</t>
        </is>
      </c>
      <c r="C10" s="252" t="inlineStr">
        <is>
          <t>Identificación y seguimiento reforzado de Personas Políticamente Expuestas</t>
        </is>
      </c>
      <c r="D10" s="252" t="inlineStr">
        <is>
          <t>Arts. 23 Bis 3 y 23 Bis 4</t>
        </is>
      </c>
      <c r="E10" s="252" t="inlineStr">
        <is>
          <t>Procedimiento de detección de PEP nacionales y extranjeras y de sus allegados, factores de Riesgo adicionales, y aprobación de un directivo para PEP extranjera de riesgo alto.</t>
        </is>
      </c>
      <c r="F10" s="253" t="inlineStr">
        <is>
          <t>No</t>
        </is>
      </c>
      <c r="G10" s="254" t="n"/>
      <c r="H10" s="255">
        <f>IF($G10="","",IF($G10="No aplica","",IF(OR($I10="",$J10=""),0,IFERROR(INDEX(PARAMETROS!$I$15:$I$18,MATCH($G10,PARAMETROS!$H$15:$H$18,0)),0))))</f>
        <v/>
      </c>
      <c r="I10" s="254" t="inlineStr">
        <is>
          <t>Manual, numeral 4.6</t>
        </is>
      </c>
      <c r="J10" s="254" t="n"/>
      <c r="K10" s="254" t="n"/>
      <c r="L10" s="256">
        <f>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
      </c>
    </row>
    <row r="11" ht="57.75" customHeight="1" s="173">
      <c r="B11" s="251" t="inlineStr">
        <is>
          <t>V</t>
        </is>
      </c>
      <c r="C11" s="252" t="inlineStr">
        <is>
          <t>Detección de actos u operaciones que se apartan del Perfil transaccional</t>
        </is>
      </c>
      <c r="D11" s="252" t="inlineStr">
        <is>
          <t>Art. 41 fr. II</t>
        </is>
      </c>
      <c r="E11" s="252" t="inlineStr">
        <is>
          <t>Perfil transaccional documentado por Cliente y alertas por desviación, con bitácora de la alerta, su análisis y su conclusión.</t>
        </is>
      </c>
      <c r="F11" s="253" t="inlineStr">
        <is>
          <t>Condicionado</t>
        </is>
      </c>
      <c r="G11" s="254" t="n"/>
      <c r="H11" s="255">
        <f>IF($G11="","",IF($G11="No aplica","",IF(OR($I11="",$J11=""),0,IFERROR(INDEX(PARAMETROS!$I$15:$I$18,MATCH($G11,PARAMETROS!$H$15:$H$18,0)),0))))</f>
        <v/>
      </c>
      <c r="I11" s="254" t="inlineStr">
        <is>
          <t>Manual, numeral 6.4</t>
        </is>
      </c>
      <c r="J11" s="254" t="n"/>
      <c r="K11" s="254" t="n"/>
      <c r="L11" s="256">
        <f>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
      </c>
    </row>
    <row r="12" ht="57.75" customHeight="1" s="173">
      <c r="B12" s="251" t="inlineStr">
        <is>
          <t>VI</t>
        </is>
      </c>
      <c r="C12" s="252" t="inlineStr">
        <is>
          <t>Procedimientos para la presentación de Avisos e Informes</t>
        </is>
      </c>
      <c r="D12" s="252" t="inlineStr">
        <is>
          <t>Cap. V de las Reglas; Art. 23 de la Ley</t>
        </is>
      </c>
      <c r="E12" s="252" t="inlineStr">
        <is>
          <t>Flujo interno con responsable y plazos: Aviso ordinario a más tardar el día 17 del mes inmediato siguiente, y protocolo de 24 horas.</t>
        </is>
      </c>
      <c r="F12" s="253" t="inlineStr">
        <is>
          <t>No</t>
        </is>
      </c>
      <c r="G12" s="254" t="n"/>
      <c r="H12" s="255">
        <f>IF($G12="","",IF($G12="No aplica","",IF(OR($I12="",$J12=""),0,IFERROR(INDEX(PARAMETROS!$I$15:$I$18,MATCH($G12,PARAMETROS!$H$15:$H$18,0)),0))))</f>
        <v/>
      </c>
      <c r="I12" s="254" t="inlineStr">
        <is>
          <t>Manual, numeral 5.2</t>
        </is>
      </c>
      <c r="J12" s="254" t="n"/>
      <c r="K12" s="254" t="n"/>
      <c r="L12" s="256">
        <f>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
      </c>
    </row>
    <row r="13" ht="57.75" customHeight="1" s="173">
      <c r="B13" s="251" t="inlineStr">
        <is>
          <t>VII</t>
        </is>
      </c>
      <c r="C13" s="252" t="inlineStr">
        <is>
          <t>Mecanismos de conservación de información y documentación</t>
        </is>
      </c>
      <c r="D13" s="252" t="inlineStr">
        <is>
          <t>Art. 10 Septies 3, 3er párr.; Art. 41 fr. I y IV</t>
        </is>
      </c>
      <c r="E13" s="252" t="inlineStr">
        <is>
          <t>Política de resguardo por diez años, lugar y medio de conservación, y medidas de seguridad contra pérdida, alteración u ocultamiento.</t>
        </is>
      </c>
      <c r="F13" s="253" t="inlineStr">
        <is>
          <t>No</t>
        </is>
      </c>
      <c r="G13" s="254" t="n"/>
      <c r="H13" s="255">
        <f>IF($G13="","",IF($G13="No aplica","",IF(OR($I13="",$J13=""),0,IFERROR(INDEX(PARAMETROS!$I$15:$I$18,MATCH($G13,PARAMETROS!$H$15:$H$18,0)),0))))</f>
        <v/>
      </c>
      <c r="I13" s="254" t="inlineStr">
        <is>
          <t>Manual, numeral 8.1</t>
        </is>
      </c>
      <c r="J13" s="254" t="n"/>
      <c r="K13" s="254" t="n"/>
      <c r="L13" s="256">
        <f>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
      </c>
    </row>
    <row r="14" ht="57.75" customHeight="1" s="173">
      <c r="B14" s="251" t="inlineStr">
        <is>
          <t>VIII</t>
        </is>
      </c>
      <c r="C14" s="252" t="inlineStr">
        <is>
          <t>Seguimiento y acumulación de actos u operaciones frente a los umbrales</t>
        </is>
      </c>
      <c r="D14" s="252" t="inlineStr">
        <is>
          <t>Art. 17, penúltimo párr. de la Ley; Art. 41 fr. II</t>
        </is>
      </c>
      <c r="E14" s="252" t="inlineStr">
        <is>
          <t>Mecanismo que agrupe las operaciones del mismo Cliente y dispare el Aviso cuando la suma acumulada alcance el umbral de tu fracción.</t>
        </is>
      </c>
      <c r="F14" s="253" t="inlineStr">
        <is>
          <t>Condicionado</t>
        </is>
      </c>
      <c r="G14" s="254" t="n"/>
      <c r="H14" s="255">
        <f>IF($G14="","",IF($G14="No aplica","",IF(OR($I14="",$J14=""),0,IFERROR(INDEX(PARAMETROS!$I$15:$I$18,MATCH($G14,PARAMETROS!$H$15:$H$18,0)),0))))</f>
        <v/>
      </c>
      <c r="I14" s="254" t="inlineStr">
        <is>
          <t>Manual, numeral 5.4</t>
        </is>
      </c>
      <c r="J14" s="254" t="n"/>
      <c r="K14" s="254" t="n"/>
      <c r="L14" s="256">
        <f>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
      </c>
    </row>
    <row r="15" ht="57.75" customHeight="1" s="173">
      <c r="B15" s="251" t="inlineStr">
        <is>
          <t>IX</t>
        </is>
      </c>
      <c r="C15" s="252" t="inlineStr">
        <is>
          <t>Identificación de personas publicadas en listas de autoridades nacionales u organismos internacionales</t>
        </is>
      </c>
      <c r="D15" s="252" t="inlineStr">
        <is>
          <t>Arts. 38 y 41 fr. V</t>
        </is>
      </c>
      <c r="E15" s="252" t="inlineStr">
        <is>
          <t>Búsqueda documentada del Cliente, su Beneficiario Controlador y sus apoderados contra las listas aplicables, con constancia por operación y protocolo ante coincidencia.</t>
        </is>
      </c>
      <c r="F15" s="253" t="inlineStr">
        <is>
          <t>No</t>
        </is>
      </c>
      <c r="G15" s="254" t="n"/>
      <c r="H15" s="255">
        <f>IF($G15="","",IF($G15="No aplica","",IF(OR($I15="",$J15=""),0,IFERROR(INDEX(PARAMETROS!$I$15:$I$18,MATCH($G15,PARAMETROS!$H$15:$H$18,0)),0))))</f>
        <v/>
      </c>
      <c r="I15" s="254" t="inlineStr">
        <is>
          <t>Manual, numeral 6.2</t>
        </is>
      </c>
      <c r="J15" s="254" t="n"/>
      <c r="K15" s="254" t="n"/>
      <c r="L15" s="256">
        <f>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
      </c>
    </row>
    <row r="16" ht="57.75" customHeight="1" s="173">
      <c r="B16" s="251" t="inlineStr">
        <is>
          <t>X</t>
        </is>
      </c>
      <c r="C16" s="252" t="inlineStr">
        <is>
          <t>Funciones y responsabilidades de la persona Representante Encargada de Cumplimiento</t>
        </is>
      </c>
      <c r="D16" s="252" t="inlineStr">
        <is>
          <t>Art. 20 de la Ley</t>
        </is>
      </c>
      <c r="E16" s="252" t="inlineStr">
        <is>
          <t>Designación vigente y acreditada ante el SAT, con funciones, nivel de autoridad y suplencia definidos por escrito.</t>
        </is>
      </c>
      <c r="F16" s="253" t="inlineStr">
        <is>
          <t>Condicionado</t>
        </is>
      </c>
      <c r="G16" s="254" t="n"/>
      <c r="H16" s="255">
        <f>IF($G16="","",IF($G16="No aplica","",IF(OR($I16="",$J16=""),0,IFERROR(INDEX(PARAMETROS!$I$15:$I$18,MATCH($G16,PARAMETROS!$H$15:$H$18,0)),0))))</f>
        <v/>
      </c>
      <c r="I16" s="254" t="inlineStr">
        <is>
          <t>Manual, numeral 3.1</t>
        </is>
      </c>
      <c r="J16" s="254" t="n"/>
      <c r="K16" s="254" t="n"/>
      <c r="L16" s="256">
        <f>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
      </c>
    </row>
    <row r="17" ht="57.75" customHeight="1" s="173">
      <c r="B17" s="251" t="inlineStr">
        <is>
          <t>XI</t>
        </is>
      </c>
      <c r="C17" s="252" t="inlineStr">
        <is>
          <t>Programas de capacitación</t>
        </is>
      </c>
      <c r="D17" s="252" t="inlineStr">
        <is>
          <t>Cap. XII, Art. 39 Bis</t>
        </is>
      </c>
      <c r="E17" s="252" t="inlineStr">
        <is>
          <t>Programa anual con contenido, destinatarios (órgano de administración, directivos, personal de atención, de envío de Avisos y de auditoría) y constancias de acreditación.</t>
        </is>
      </c>
      <c r="F17" s="253" t="inlineStr">
        <is>
          <t>No</t>
        </is>
      </c>
      <c r="G17" s="254" t="n"/>
      <c r="H17" s="255">
        <f>IF($G17="","",IF($G17="No aplica","",IF(OR($I17="",$J17=""),0,IFERROR(INDEX(PARAMETROS!$I$15:$I$18,MATCH($G17,PARAMETROS!$H$15:$H$18,0)),0))))</f>
        <v/>
      </c>
      <c r="I17" s="254" t="inlineStr">
        <is>
          <t>Manual, numeral 9.1</t>
        </is>
      </c>
      <c r="J17" s="254" t="n"/>
      <c r="K17" s="254" t="n"/>
      <c r="L17" s="256">
        <f>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
      </c>
    </row>
    <row r="18" ht="57.75" customHeight="1" s="173">
      <c r="B18" s="251" t="inlineStr">
        <is>
          <t>XII</t>
        </is>
      </c>
      <c r="C18" s="252" t="inlineStr">
        <is>
          <t>Mecanismos de control interno, supervisión y auditoría</t>
        </is>
      </c>
      <c r="D18" s="252" t="inlineStr">
        <is>
          <t>Cap. XIV, Arts. 42 a 51</t>
        </is>
      </c>
      <c r="E18" s="252" t="inlineStr">
        <is>
          <t>Programa de revisión anual y designación de quien emite el dictamen: área interna si tu riesgo es bajo o medio; auditor externo certificado por la UIF si es alto (ver A6).</t>
        </is>
      </c>
      <c r="F18" s="253" t="inlineStr">
        <is>
          <t>No</t>
        </is>
      </c>
      <c r="G18" s="254" t="n"/>
      <c r="H18" s="255">
        <f>IF($G18="","",IF($G18="No aplica","",IF(OR($I18="",$J18=""),0,IFERROR(INDEX(PARAMETROS!$I$15:$I$18,MATCH($G18,PARAMETROS!$H$15:$H$18,0)),0))))</f>
        <v/>
      </c>
      <c r="I18" s="254" t="inlineStr">
        <is>
          <t>Manual, numeral 10.1</t>
        </is>
      </c>
      <c r="J18" s="254" t="n"/>
      <c r="K18" s="254" t="n"/>
      <c r="L18" s="256">
        <f>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
      </c>
    </row>
    <row r="19" ht="57.75" customHeight="1" s="173">
      <c r="B19" s="251" t="inlineStr">
        <is>
          <t>XIII</t>
        </is>
      </c>
      <c r="C19" s="252" t="inlineStr">
        <is>
          <t>Medidas para garantizar la confidencialidad de la información</t>
        </is>
      </c>
      <c r="D19" s="252" t="inlineStr">
        <is>
          <t>Cap. VI, Art. 31; Art. 38 de la Ley</t>
        </is>
      </c>
      <c r="E19" s="252" t="inlineStr">
        <is>
          <t>Compromiso escrito de confidencialidad del personal y prohibición expresa de alertar al Cliente sobre la presentación de Avisos.</t>
        </is>
      </c>
      <c r="F19" s="253" t="inlineStr">
        <is>
          <t>No</t>
        </is>
      </c>
      <c r="G19" s="254" t="n"/>
      <c r="H19" s="255">
        <f>IF($G19="","",IF($G19="No aplica","",IF(OR($I19="",$J19=""),0,IFERROR(INDEX(PARAMETROS!$I$15:$I$18,MATCH($G19,PARAMETROS!$H$15:$H$18,0)),0))))</f>
        <v/>
      </c>
      <c r="I19" s="254" t="inlineStr">
        <is>
          <t>Manual, numeral 3.5</t>
        </is>
      </c>
      <c r="J19" s="254" t="n"/>
      <c r="K19" s="254" t="n"/>
      <c r="L19" s="256">
        <f>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
      </c>
    </row>
    <row r="20" ht="57.75" customHeight="1" s="173">
      <c r="B20" s="251" t="inlineStr">
        <is>
          <t>XIV</t>
        </is>
      </c>
      <c r="C20" s="252" t="inlineStr">
        <is>
          <t>Procedimientos para la actualización del propio Manual de Políticas Internas</t>
        </is>
      </c>
      <c r="D20" s="252" t="inlineStr">
        <is>
          <t>Art. 37 Bis 3</t>
        </is>
      </c>
      <c r="E20" s="252" t="inlineStr">
        <is>
          <t>Procedimiento y periodicidad de actualización, responsable, control de versiones y atención a los ajustes que señale el SAT.</t>
        </is>
      </c>
      <c r="F20" s="253" t="inlineStr">
        <is>
          <t>No</t>
        </is>
      </c>
      <c r="G20" s="254" t="n"/>
      <c r="H20" s="255">
        <f>IF($G20="","",IF($G20="No aplica","",IF(OR($I20="",$J20=""),0,IFERROR(INDEX(PARAMETROS!$I$15:$I$18,MATCH($G20,PARAMETROS!$H$15:$H$18,0)),0))))</f>
        <v/>
      </c>
      <c r="I20" s="254" t="inlineStr">
        <is>
          <t>Manual, numeral 12.1</t>
        </is>
      </c>
      <c r="J20" s="254" t="n"/>
      <c r="K20" s="254" t="n"/>
      <c r="L20" s="256">
        <f>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
      </c>
    </row>
    <row r="23" ht="15" customHeight="1" s="173">
      <c r="B23" s="194" t="inlineStr">
        <is>
          <t>RESULTADO DEL CATÁLOGO — ESTA ES LA MITIGACIÓN DE TODA LA MATRIZ</t>
        </is>
      </c>
    </row>
    <row r="24" ht="15" customHeight="1" s="173">
      <c r="B24" s="196" t="inlineStr">
        <is>
          <t>Obligaciones del catálogo (Art. 37 Bis):</t>
        </is>
      </c>
      <c r="F24" s="257">
        <f>COUNTA($B$7:$B$20)</f>
        <v/>
      </c>
    </row>
    <row r="25" ht="15" customHeight="1" s="173">
      <c r="B25" s="196" t="inlineStr">
        <is>
          <t>Excluidas por «No aplica» (Art. 37 Bis 2):</t>
        </is>
      </c>
      <c r="F25" s="257">
        <f>COUNTIF($G$7:$G$20,"No aplica")</f>
        <v/>
      </c>
    </row>
    <row r="26" ht="15" customHeight="1" s="173">
      <c r="B26" s="196" t="inlineStr">
        <is>
          <t>Obligaciones exigibles — denominador:</t>
        </is>
      </c>
      <c r="F26" s="257">
        <f>$F$24-$F$25</f>
        <v/>
      </c>
    </row>
    <row r="27" ht="15" customHeight="1" s="173">
      <c r="B27" s="196" t="inlineStr">
        <is>
          <t>Suma de los porcentajes obtenidos:</t>
        </is>
      </c>
      <c r="F27" s="258">
        <f>SUM($H$7:$H$20)</f>
        <v/>
      </c>
    </row>
    <row r="28" ht="15" customHeight="1" s="173">
      <c r="B28" s="194" t="inlineStr">
        <is>
          <t>EFECTIVIDAD DE LOS MITIGANTES:</t>
        </is>
      </c>
      <c r="F28" s="259">
        <f>IFERROR($F$27/$F$26,0)</f>
        <v/>
      </c>
    </row>
    <row r="29" ht="15" customHeight="1" s="173">
      <c r="B29" s="196" t="inlineStr">
        <is>
          <t>Tope máximo de reducción (PARÁMETROS C30):</t>
        </is>
      </c>
      <c r="F29" s="260">
        <f>PARAMETROS!$C$30</f>
        <v/>
      </c>
    </row>
    <row r="30" ht="15" customHeight="1" s="173">
      <c r="B30" s="194" t="inlineStr">
        <is>
          <t>REDUCCIÓN QUE SE APLICARÁ AL RIESGO INHERENTE:</t>
        </is>
      </c>
      <c r="F30" s="259">
        <f>$F$28*$F$29</f>
        <v/>
      </c>
    </row>
    <row r="32" ht="15" customHeight="1" s="173">
      <c r="B32" s="194" t="inlineStr">
        <is>
          <t>ALERTAS DEL CATÁLOGO</t>
        </is>
      </c>
    </row>
    <row r="33" ht="15" customHeight="1" s="173">
      <c r="B33" s="196" t="inlineStr">
        <is>
          <t>Obligaciones en «No cumple»:</t>
        </is>
      </c>
      <c r="F33" s="261">
        <f>COUNTIF($G$7:$G$20,"No cumple")</f>
        <v/>
      </c>
    </row>
    <row r="34" ht="15" customHeight="1" s="173">
      <c r="B34" s="196" t="inlineStr">
        <is>
          <t>Exclusiones sin constancia en el Manual:</t>
        </is>
      </c>
      <c r="F34" s="261">
        <f>SUMPRODUCT(--($G$7:$G$20="No aplica"),--($K$7:$K$20=""))</f>
        <v/>
      </c>
    </row>
    <row r="35" ht="15" customHeight="1" s="173">
      <c r="B35" s="196" t="inlineStr">
        <is>
          <t>Obligaciones sin numeral del Manual o sin evidencia:</t>
        </is>
      </c>
      <c r="F35" s="261">
        <f>SUMPRODUCT(--($G$7:$G$20&lt;&gt;""),--($G$7:$G$20&lt;&gt;"No aplica"),--((($I$7:$I$20="")+($J$7:$J$20=""))&gt;0))</f>
        <v/>
      </c>
    </row>
    <row r="36" ht="15" customHeight="1" s="173">
      <c r="B36" s="196" t="inlineStr">
        <is>
          <t>Obligaciones sin calificar:</t>
        </is>
      </c>
      <c r="F36" s="261">
        <f>COUNTBLANK($G$7:$G$20)</f>
        <v/>
      </c>
    </row>
    <row r="38" ht="168" customHeight="1" s="173">
      <c r="B38" s="200">
        <f>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
      </c>
    </row>
    <row r="40" ht="324" customHeight="1" s="173">
      <c r="B40" s="240" t="inlineStr">
        <is>
          <t>Cómo se calcula: Efectividad = suma de los porcentajes ÷ obligaciones exigibles. El denominador es fijo (14) y solo baja cuando una obligación es «No aplica». Por eso registrar menos controles ya NO mejora el resultado: lo empeora.</t>
        </is>
      </c>
    </row>
    <row r="41" ht="548.25" customHeight="1" s="173">
      <c r="B41" s="240" t="inlineStr">
        <is>
          <t>Sólo las fracciones V, VIII y X admiten «No aplica»,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is>
      </c>
    </row>
    <row r="42" ht="324" customHeight="1" s="173">
      <c r="B42" s="240" t="inlineStr">
        <is>
          <t>El Art. 48 fr. V exige que el auditor verifique que la exclusión no actualice un incumplimiento y que sea consistente con el análisis de Riesgos. Por eso la justificación pide el numeral del Manual donde consta la exención, no un texto libre.</t>
        </is>
      </c>
    </row>
    <row r="43" ht="387" customHeight="1" s="173">
      <c r="B43" s="240" t="inlineStr">
        <is>
          <t>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is>
      </c>
    </row>
    <row r="44" ht="351" customHeight="1" s="173">
      <c r="B44" s="240" t="inlineStr">
        <is>
          <t>Pendiente declarado: la columna «Qué se espera» es todavía guía común a las 30 fracciones. El anexo sectorial —qué se espera en cada obligación según tu Actividad Vulnerable— es el siguiente entregable y no altera el denominador ni el cálculo.</t>
        </is>
      </c>
    </row>
  </sheetData>
  <conditionalFormatting sqref="G7:G20">
    <cfRule type="expression" rank="0" priority="2" equalAverage="0" aboveAverage="0" dxfId="0" text="" percent="0" bottom="0">
      <formula>$G7="No cumple"</formula>
    </cfRule>
    <cfRule type="expression" rank="0" priority="3" equalAverage="0" aboveAverage="0" dxfId="7" text="" percent="0" bottom="0">
      <formula>$G7=""</formula>
    </cfRule>
  </conditionalFormatting>
  <dataValidations count="2">
    <dataValidation sqref="G7:G10 G12:G13 G15 G17:G20" showDropDown="0" showInputMessage="0" showErrorMessage="0" allowBlank="1" type="list" errorStyle="stop" operator="between">
      <formula1>"Cumple,Cumple mayoritariamente,Cumple parcialmente,No cumple"</formula1>
      <formula2>0</formula2>
    </dataValidation>
    <dataValidation sqref="G11 G14 G16" showDropDown="0" showInputMessage="0" showErrorMessage="0" allowBlank="1" type="list" errorStyle="stop" operator="between">
      <formula1>"Cumple,Cumple mayoritariamente,Cumple parcialmente,No cumple,No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FE699"/>
    <outlinePr summaryBelow="1" summaryRight="1"/>
    <pageSetUpPr fitToPage="0"/>
  </sheetPr>
  <dimension ref="B2:L32"/>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4" customWidth="1" style="172" min="3" max="3"/>
    <col width="18" customWidth="1" style="172" min="4" max="4"/>
    <col width="13" customWidth="1" style="172" min="5" max="5"/>
    <col width="14" customWidth="1" style="172" min="6" max="6"/>
    <col width="13" customWidth="1" style="172" min="7" max="7"/>
    <col width="18" customWidth="1" style="172" min="8" max="8"/>
    <col width="12" customWidth="1" style="172" min="9" max="9"/>
    <col width="22" customWidth="1" style="172" min="10" max="10"/>
    <col width="40" customWidth="1" style="172" min="11" max="11"/>
    <col width="34" customWidth="1" style="172" min="12" max="12"/>
  </cols>
  <sheetData>
    <row r="2" ht="21.75" customHeight="1" s="173">
      <c r="B2" s="262" t="inlineStr">
        <is>
          <t>A4 BIS · CONTROLES ADICIONALES (por encima del mínimo) — INFORMATIVO</t>
        </is>
      </c>
    </row>
    <row r="3" ht="15" customHeight="1" s="173">
      <c r="B3" s="263" t="inlineStr">
        <is>
          <t>Registra aquí los controles que tienes por encima de las 14 obligaciones del catálogo. Esta hoja NO cambia el resultado: la mitigación se calcula en A4 CONTROLES MINIMOS. Sirve para documentar tu programa completo ante un requerimiento sin alterar el número.</t>
        </is>
      </c>
    </row>
    <row r="4" ht="15" customHeight="1" s="173">
      <c r="B4" s="177" t="inlineStr">
        <is>
          <t>Complemento del paso 6  ·  No entra en el cálculo  ·  Sigue: A5 RESIDUAL</t>
        </is>
      </c>
    </row>
    <row r="6" ht="31.5" customHeight="1" s="173">
      <c r="B6" s="178" t="inlineStr">
        <is>
          <t>#</t>
        </is>
      </c>
      <c r="C6" s="178" t="inlineStr">
        <is>
          <t>Descripción del control</t>
        </is>
      </c>
      <c r="D6" s="178" t="inlineStr">
        <is>
          <t>Elemento que mitiga (informativo)</t>
        </is>
      </c>
      <c r="E6" s="178" t="inlineStr">
        <is>
          <t>Naturaleza</t>
        </is>
      </c>
      <c r="F6" s="178" t="inlineStr">
        <is>
          <t>Automatización</t>
        </is>
      </c>
      <c r="G6" s="178" t="inlineStr">
        <is>
          <t>Frecuencia</t>
        </is>
      </c>
      <c r="H6" s="178" t="inlineStr">
        <is>
          <t>Efectividad</t>
        </is>
      </c>
      <c r="I6" s="178" t="inlineStr">
        <is>
          <t>Efectividad %</t>
        </is>
      </c>
      <c r="J6" s="178" t="inlineStr">
        <is>
          <t>Numeral del Manual que lo prevé</t>
        </is>
      </c>
      <c r="K6" s="178" t="inlineStr">
        <is>
          <t>Evidencia de aplicación efectiva y dónde se resguarda</t>
        </is>
      </c>
      <c r="L6" s="178" t="inlineStr">
        <is>
          <t>Aviso</t>
        </is>
      </c>
    </row>
    <row r="7" ht="42" customHeight="1" s="173">
      <c r="B7" s="264" t="n">
        <v>1</v>
      </c>
      <c r="C7" s="350" t="n"/>
      <c r="D7" s="266" t="n"/>
      <c r="E7" s="266" t="n"/>
      <c r="F7" s="266" t="n"/>
      <c r="G7" s="266" t="n"/>
      <c r="H7" s="266" t="n"/>
      <c r="I7" s="267">
        <f>IF($H7="","",IF(OR($J7="",$K7=""),0,IFERROR(INDEX(PARAMETROS!$I$15:$I$18,MATCH($H7,PARAMETROS!$H$15:$H$18,0)),0)))</f>
        <v/>
      </c>
      <c r="J7" s="268" t="n"/>
      <c r="K7" s="348" t="n"/>
      <c r="L7" s="208">
        <f>IF($H7="","",IF(OR($J7="",$K7=""),"Sin numeral del Manual o sin evidencia: el mitigante no acredita aplicación efectiva (Art. 10 Septies 1, fr. III).",""))</f>
        <v/>
      </c>
    </row>
    <row r="8" ht="42" customHeight="1" s="173">
      <c r="B8" s="264" t="n">
        <v>2</v>
      </c>
      <c r="C8" s="350" t="n"/>
      <c r="D8" s="266" t="n"/>
      <c r="E8" s="266" t="n"/>
      <c r="F8" s="266" t="n"/>
      <c r="G8" s="266" t="n"/>
      <c r="H8" s="266" t="n"/>
      <c r="I8" s="267">
        <f>IF($H8="","",IF(OR($J8="",$K8=""),0,IFERROR(INDEX(PARAMETROS!$I$15:$I$18,MATCH($H8,PARAMETROS!$H$15:$H$18,0)),0)))</f>
        <v/>
      </c>
      <c r="J8" s="268" t="n"/>
      <c r="K8" s="348" t="n"/>
      <c r="L8" s="208">
        <f>IF($H8="","",IF(OR($J8="",$K8=""),"Sin numeral del Manual o sin evidencia: el mitigante no acredita aplicación efectiva (Art. 10 Septies 1, fr. III).",""))</f>
        <v/>
      </c>
    </row>
    <row r="9" ht="21.75" customHeight="1" s="173">
      <c r="B9" s="264" t="n">
        <v>3</v>
      </c>
      <c r="C9" s="350" t="n"/>
      <c r="D9" s="266" t="n"/>
      <c r="E9" s="266" t="n"/>
      <c r="F9" s="266" t="n"/>
      <c r="G9" s="266" t="n"/>
      <c r="H9" s="266" t="n"/>
      <c r="I9" s="267">
        <f>IF($H9="","",IF(OR($J9="",$K9=""),0,IFERROR(INDEX(PARAMETROS!$I$15:$I$18,MATCH($H9,PARAMETROS!$H$15:$H$18,0)),0)))</f>
        <v/>
      </c>
      <c r="J9" s="268" t="n"/>
      <c r="K9" s="348" t="n"/>
      <c r="L9" s="208">
        <f>IF($H9="","",IF(OR($J9="",$K9=""),"Sin numeral del Manual o sin evidencia: el mitigante no acredita aplicación efectiva (Art. 10 Septies 1, fr. III).",""))</f>
        <v/>
      </c>
    </row>
    <row r="10" ht="21.75" customHeight="1" s="173">
      <c r="B10" s="264" t="n">
        <v>4</v>
      </c>
      <c r="C10" s="350" t="n"/>
      <c r="D10" s="266" t="n"/>
      <c r="E10" s="266" t="n"/>
      <c r="F10" s="266" t="n"/>
      <c r="G10" s="266" t="n"/>
      <c r="H10" s="266" t="n"/>
      <c r="I10" s="267">
        <f>IF($H10="","",IF(OR($J10="",$K10=""),0,IFERROR(INDEX(PARAMETROS!$I$15:$I$18,MATCH($H10,PARAMETROS!$H$15:$H$18,0)),0)))</f>
        <v/>
      </c>
      <c r="J10" s="268" t="n"/>
      <c r="K10" s="348" t="n"/>
      <c r="L10" s="208">
        <f>IF($H10="","",IF(OR($J10="",$K10=""),"Sin numeral del Manual o sin evidencia: el mitigante no acredita aplicación efectiva (Art. 10 Septies 1, fr. III).",""))</f>
        <v/>
      </c>
    </row>
    <row r="11" ht="21.75" customHeight="1" s="173">
      <c r="B11" s="264" t="n">
        <v>5</v>
      </c>
      <c r="C11" s="350" t="n"/>
      <c r="D11" s="266" t="n"/>
      <c r="E11" s="266" t="n"/>
      <c r="F11" s="266" t="n"/>
      <c r="G11" s="266" t="n"/>
      <c r="H11" s="266" t="n"/>
      <c r="I11" s="267">
        <f>IF($H11="","",IF(OR($J11="",$K11=""),0,IFERROR(INDEX(PARAMETROS!$I$15:$I$18,MATCH($H11,PARAMETROS!$H$15:$H$18,0)),0)))</f>
        <v/>
      </c>
      <c r="J11" s="268" t="n"/>
      <c r="K11" s="348" t="n"/>
      <c r="L11" s="208">
        <f>IF($H11="","",IF(OR($J11="",$K11=""),"Sin numeral del Manual o sin evidencia: el mitigante no acredita aplicación efectiva (Art. 10 Septies 1, fr. III).",""))</f>
        <v/>
      </c>
    </row>
    <row r="12" ht="21.75" customHeight="1" s="173">
      <c r="B12" s="264" t="n">
        <v>6</v>
      </c>
      <c r="C12" s="350" t="n"/>
      <c r="D12" s="266" t="n"/>
      <c r="E12" s="266" t="n"/>
      <c r="F12" s="266" t="n"/>
      <c r="G12" s="266" t="n"/>
      <c r="H12" s="266" t="n"/>
      <c r="I12" s="267">
        <f>IF($H12="","",IF(OR($J12="",$K12=""),0,IFERROR(INDEX(PARAMETROS!$I$15:$I$18,MATCH($H12,PARAMETROS!$H$15:$H$18,0)),0)))</f>
        <v/>
      </c>
      <c r="J12" s="268" t="n"/>
      <c r="K12" s="348" t="n"/>
      <c r="L12" s="208">
        <f>IF($H12="","",IF(OR($J12="",$K12=""),"Sin numeral del Manual o sin evidencia: el mitigante no acredita aplicación efectiva (Art. 10 Septies 1, fr. III).",""))</f>
        <v/>
      </c>
    </row>
    <row r="13" ht="21.75" customHeight="1" s="173">
      <c r="B13" s="264" t="n">
        <v>7</v>
      </c>
      <c r="C13" s="265" t="n"/>
      <c r="D13" s="266" t="n"/>
      <c r="E13" s="266" t="n"/>
      <c r="F13" s="266" t="n"/>
      <c r="G13" s="266" t="n"/>
      <c r="H13" s="266" t="n"/>
      <c r="I13" s="267">
        <f>IF($H13="","",IF(OR($J13="",$K13=""),0,IFERROR(INDEX(PARAMETROS!$I$15:$I$18,MATCH($H13,PARAMETROS!$H$15:$H$18,0)),0)))</f>
        <v/>
      </c>
      <c r="J13" s="268" t="n"/>
      <c r="K13" s="268" t="n"/>
      <c r="L13" s="208">
        <f>IF($H13="","",IF(OR($J13="",$K13=""),"Sin numeral del Manual o sin evidencia: el mitigante no acredita aplicación efectiva (Art. 10 Septies 1, fr. III).",""))</f>
        <v/>
      </c>
    </row>
    <row r="14" ht="21.75" customHeight="1" s="173">
      <c r="B14" s="264" t="n">
        <v>8</v>
      </c>
      <c r="C14" s="265" t="n"/>
      <c r="D14" s="266" t="n"/>
      <c r="E14" s="266" t="n"/>
      <c r="F14" s="266" t="n"/>
      <c r="G14" s="266" t="n"/>
      <c r="H14" s="266" t="n"/>
      <c r="I14" s="267">
        <f>IF($H14="","",IF(OR($J14="",$K14=""),0,IFERROR(INDEX(PARAMETROS!$I$15:$I$18,MATCH($H14,PARAMETROS!$H$15:$H$18,0)),0)))</f>
        <v/>
      </c>
      <c r="J14" s="268" t="n"/>
      <c r="K14" s="268" t="n"/>
      <c r="L14" s="208">
        <f>IF($H14="","",IF(OR($J14="",$K14=""),"Sin numeral del Manual o sin evidencia: el mitigante no acredita aplicación efectiva (Art. 10 Septies 1, fr. III).",""))</f>
        <v/>
      </c>
    </row>
    <row r="15" ht="21.75" customHeight="1" s="173">
      <c r="B15" s="264" t="n">
        <v>9</v>
      </c>
      <c r="C15" s="265" t="n"/>
      <c r="D15" s="266" t="n"/>
      <c r="E15" s="266" t="n"/>
      <c r="F15" s="266" t="n"/>
      <c r="G15" s="266" t="n"/>
      <c r="H15" s="266" t="n"/>
      <c r="I15" s="267">
        <f>IF($H15="","",IF(OR($J15="",$K15=""),0,IFERROR(INDEX(PARAMETROS!$I$15:$I$18,MATCH($H15,PARAMETROS!$H$15:$H$18,0)),0)))</f>
        <v/>
      </c>
      <c r="J15" s="268" t="n"/>
      <c r="K15" s="268" t="n"/>
      <c r="L15" s="208">
        <f>IF($H15="","",IF(OR($J15="",$K15=""),"Sin numeral del Manual o sin evidencia: el mitigante no acredita aplicación efectiva (Art. 10 Septies 1, fr. III).",""))</f>
        <v/>
      </c>
    </row>
    <row r="16" ht="21.75" customHeight="1" s="173">
      <c r="B16" s="264" t="n">
        <v>10</v>
      </c>
      <c r="C16" s="265" t="n"/>
      <c r="D16" s="266" t="n"/>
      <c r="E16" s="266" t="n"/>
      <c r="F16" s="266" t="n"/>
      <c r="G16" s="266" t="n"/>
      <c r="H16" s="266" t="n"/>
      <c r="I16" s="267">
        <f>IF($H16="","",IF(OR($J16="",$K16=""),0,IFERROR(INDEX(PARAMETROS!$I$15:$I$18,MATCH($H16,PARAMETROS!$H$15:$H$18,0)),0)))</f>
        <v/>
      </c>
      <c r="J16" s="268" t="n"/>
      <c r="K16" s="268" t="n"/>
      <c r="L16" s="208">
        <f>IF($H16="","",IF(OR($J16="",$K16=""),"Sin numeral del Manual o sin evidencia: el mitigante no acredita aplicación efectiva (Art. 10 Septies 1, fr. III).",""))</f>
        <v/>
      </c>
    </row>
    <row r="17" ht="21.75" customHeight="1" s="173">
      <c r="B17" s="264" t="n">
        <v>11</v>
      </c>
      <c r="C17" s="265" t="n"/>
      <c r="D17" s="266" t="n"/>
      <c r="E17" s="266" t="n"/>
      <c r="F17" s="266" t="n"/>
      <c r="G17" s="266" t="n"/>
      <c r="H17" s="266" t="n"/>
      <c r="I17" s="267">
        <f>IF($H17="","",IF(OR($J17="",$K17=""),0,IFERROR(INDEX(PARAMETROS!$I$15:$I$18,MATCH($H17,PARAMETROS!$H$15:$H$18,0)),0)))</f>
        <v/>
      </c>
      <c r="J17" s="268" t="n"/>
      <c r="K17" s="268" t="n"/>
      <c r="L17" s="208">
        <f>IF($H17="","",IF(OR($J17="",$K17=""),"Sin numeral del Manual o sin evidencia: el mitigante no acredita aplicación efectiva (Art. 10 Septies 1, fr. III).",""))</f>
        <v/>
      </c>
    </row>
    <row r="18" ht="21.75" customHeight="1" s="173">
      <c r="B18" s="264" t="n">
        <v>12</v>
      </c>
      <c r="C18" s="265" t="n"/>
      <c r="D18" s="266" t="n"/>
      <c r="E18" s="266" t="n"/>
      <c r="F18" s="266" t="n"/>
      <c r="G18" s="266" t="n"/>
      <c r="H18" s="266" t="n"/>
      <c r="I18" s="267">
        <f>IF($H18="","",IF(OR($J18="",$K18=""),0,IFERROR(INDEX(PARAMETROS!$I$15:$I$18,MATCH($H18,PARAMETROS!$H$15:$H$18,0)),0)))</f>
        <v/>
      </c>
      <c r="J18" s="268" t="n"/>
      <c r="K18" s="268" t="n"/>
      <c r="L18" s="208">
        <f>IF($H18="","",IF(OR($J18="",$K18=""),"Sin numeral del Manual o sin evidencia: el mitigante no acredita aplicación efectiva (Art. 10 Septies 1, fr. III).",""))</f>
        <v/>
      </c>
    </row>
    <row r="19" ht="21.75" customHeight="1" s="173">
      <c r="B19" s="264" t="n">
        <v>13</v>
      </c>
      <c r="C19" s="265" t="n"/>
      <c r="D19" s="266" t="n"/>
      <c r="E19" s="266" t="n"/>
      <c r="F19" s="266" t="n"/>
      <c r="G19" s="266" t="n"/>
      <c r="H19" s="266" t="n"/>
      <c r="I19" s="267">
        <f>IF($H19="","",IF(OR($J19="",$K19=""),0,IFERROR(INDEX(PARAMETROS!$I$15:$I$18,MATCH($H19,PARAMETROS!$H$15:$H$18,0)),0)))</f>
        <v/>
      </c>
      <c r="J19" s="268" t="n"/>
      <c r="K19" s="268" t="n"/>
      <c r="L19" s="208">
        <f>IF($H19="","",IF(OR($J19="",$K19=""),"Sin numeral del Manual o sin evidencia: el mitigante no acredita aplicación efectiva (Art. 10 Septies 1, fr. III).",""))</f>
        <v/>
      </c>
    </row>
    <row r="20" ht="21.75" customHeight="1" s="173">
      <c r="B20" s="264" t="n">
        <v>14</v>
      </c>
      <c r="C20" s="265" t="n"/>
      <c r="D20" s="266" t="n"/>
      <c r="E20" s="266" t="n"/>
      <c r="F20" s="266" t="n"/>
      <c r="G20" s="266" t="n"/>
      <c r="H20" s="266" t="n"/>
      <c r="I20" s="267">
        <f>IF($H20="","",IF(OR($J20="",$K20=""),0,IFERROR(INDEX(PARAMETROS!$I$15:$I$18,MATCH($H20,PARAMETROS!$H$15:$H$18,0)),0)))</f>
        <v/>
      </c>
      <c r="J20" s="268" t="n"/>
      <c r="K20" s="268" t="n"/>
      <c r="L20" s="208">
        <f>IF($H20="","",IF(OR($J20="",$K20=""),"Sin numeral del Manual o sin evidencia: el mitigante no acredita aplicación efectiva (Art. 10 Septies 1, fr. III).",""))</f>
        <v/>
      </c>
    </row>
    <row r="21" ht="21.75" customHeight="1" s="173">
      <c r="B21" s="264" t="n">
        <v>15</v>
      </c>
      <c r="C21" s="265" t="n"/>
      <c r="D21" s="266" t="n"/>
      <c r="E21" s="266" t="n"/>
      <c r="F21" s="266" t="n"/>
      <c r="G21" s="266" t="n"/>
      <c r="H21" s="266" t="n"/>
      <c r="I21" s="267">
        <f>IF($H21="","",IF(OR($J21="",$K21=""),0,IFERROR(INDEX(PARAMETROS!$I$15:$I$18,MATCH($H21,PARAMETROS!$H$15:$H$18,0)),0)))</f>
        <v/>
      </c>
      <c r="J21" s="268" t="n"/>
      <c r="K21" s="268" t="n"/>
      <c r="L21" s="208">
        <f>IF($H21="","",IF(OR($J21="",$K21=""),"Sin numeral del Manual o sin evidencia: el mitigante no acredita aplicación efectiva (Art. 10 Septies 1, fr. III).",""))</f>
        <v/>
      </c>
    </row>
    <row r="23" ht="21" customHeight="1" s="173">
      <c r="B23" s="269" t="inlineStr">
        <is>
          <t>ESTOS CONTROLES NO ENTRAN EN EL CÁLCULO</t>
        </is>
      </c>
    </row>
    <row r="24" ht="15" customHeight="1" s="173">
      <c r="B24" s="240" t="inlineStr">
        <is>
          <t>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is>
      </c>
      <c r="D24" s="267" t="n"/>
    </row>
    <row r="25" ht="15" customHeight="1" s="173">
      <c r="B25" s="270" t="n"/>
      <c r="D25" s="267" t="n"/>
    </row>
    <row r="26" ht="15" customHeight="1" s="173">
      <c r="B26" s="271" t="n"/>
      <c r="D26" s="272" t="n"/>
    </row>
    <row r="27" ht="15" customHeight="1" s="173">
      <c r="B27" s="202" t="n"/>
      <c r="D27" s="273" t="n"/>
    </row>
    <row r="28" ht="15" customHeight="1" s="173">
      <c r="B28" s="202" t="n"/>
      <c r="D28" s="273" t="n"/>
    </row>
    <row r="30" ht="15" customHeight="1" s="173">
      <c r="B30" s="230" t="inlineStr">
        <is>
          <t>Controles adicionales registrados:</t>
        </is>
      </c>
      <c r="D30" s="229">
        <f>COUNTA($C$7:$C$21)</f>
        <v/>
      </c>
    </row>
    <row r="31" ht="15" customHeight="1" s="173">
      <c r="B31" s="230" t="inlineStr">
        <is>
          <t>Adicionales sin numeral del Manual o sin evidencia:</t>
        </is>
      </c>
      <c r="D31" s="229">
        <f>SUMPRODUCT(--($H$7:$H$21&lt;&gt;""),--((($J$7:$J$21="")+($K$7:$K$21=""))&gt;0))</f>
        <v/>
      </c>
    </row>
    <row r="32" ht="15" customHeight="1" s="173">
      <c r="B32" s="240" t="inlineStr">
        <is>
          <t>Aunque no cuenten para el número, un control que declaras sin numeral ni evidencia es un flanco: el auditor puede preguntar por él. Regístralo completo o no lo registres.</t>
        </is>
      </c>
    </row>
  </sheetData>
  <mergeCells count="4">
    <mergeCell ref="B25:C25"/>
    <mergeCell ref="B24:C24"/>
    <mergeCell ref="B23:G23"/>
    <mergeCell ref="B26:C26"/>
  </mergeCells>
  <conditionalFormatting sqref="J7:K21">
    <cfRule type="expression" rank="0" priority="2" equalAverage="0" aboveAverage="0" dxfId="0" text="" percent="0" bottom="0">
      <formula>AND($H7&lt;&gt;"",J7="")</formula>
    </cfRule>
  </conditionalFormatting>
  <dataValidations count="5">
    <dataValidation sqref="D7:D21" showDropDown="0" showInputMessage="0" showErrorMessage="0" allowBlank="1" type="list" errorStyle="stop" operator="between">
      <formula1>"Todos,1,2,3,4"</formula1>
      <formula2>0</formula2>
    </dataValidation>
    <dataValidation sqref="E7:E21" showDropDown="0" showInputMessage="0" showErrorMessage="0" allowBlank="1" type="list" errorStyle="stop" operator="between">
      <formula1>"Preventivo,Correctivo,Detectivo"</formula1>
      <formula2>0</formula2>
    </dataValidation>
    <dataValidation sqref="F7:F21" showDropDown="0" showInputMessage="0" showErrorMessage="0" allowBlank="1" type="list" errorStyle="stop" operator="between">
      <formula1>"Automático,Semiautomático,Manual"</formula1>
      <formula2>0</formula2>
    </dataValidation>
    <dataValidation sqref="G7:G21" showDropDown="0" showInputMessage="0" showErrorMessage="0" allowBlank="1" type="list" errorStyle="stop" operator="between">
      <formula1>"Permanente,Periódico,Ocasional"</formula1>
      <formula2>0</formula2>
    </dataValidation>
    <dataValidation sqref="H7:H21" showDropDown="0" showInputMessage="0" showErrorMessage="0" allowBlank="1" type="list" errorStyle="stop" operator="between">
      <formula1>"Cumple,Cumple mayoritariamente,Cumple parcialmente,No cumple"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48235"/>
    <outlinePr summaryBelow="1" summaryRight="1"/>
    <pageSetUpPr fitToPage="0"/>
  </sheetPr>
  <dimension ref="B2:I51"/>
  <sheetViews>
    <sheetView showFormulas="0" showGridLines="0" showRowColHeaders="1" showZeros="1" rightToLeft="0" tabSelected="0" showOutlineSymbols="1" defaultGridColor="1"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baseColWidth="8" defaultColWidth="8.6796875" defaultRowHeight="15" zeroHeight="0" outlineLevelRow="0"/>
  <cols>
    <col width="2" customWidth="1" style="172" min="1" max="1"/>
    <col width="6" customWidth="1" style="172" min="2" max="2"/>
    <col width="48" customWidth="1" style="172" min="3" max="3"/>
    <col width="13" customWidth="1" style="172" min="4" max="6"/>
    <col width="14" customWidth="1" style="172" min="7" max="7"/>
    <col width="34" customWidth="1" style="172" min="8" max="8"/>
    <col width="11" customWidth="1" style="172" min="9" max="9"/>
  </cols>
  <sheetData>
    <row r="2" ht="21.75" customHeight="1" s="173">
      <c r="B2" s="201" t="inlineStr">
        <is>
          <t>A5 · RIESGO RESIDUAL = Riesgo inherente × (1 − Reducción aplicada)</t>
        </is>
      </c>
    </row>
    <row r="3" ht="15" customHeight="1" s="173">
      <c r="B3" s="202" t="inlineStr">
        <is>
          <t>La mitigación se mide una sola vez, a nivel de la entidad, y se aplica igual a los tres niveles: indicador, elemento y entidad. Si el residual supera tu tolerancia, exige plan de acción (hoja A8).</t>
        </is>
      </c>
    </row>
    <row r="4" ht="15" customHeight="1" s="173">
      <c r="B4" s="177" t="inlineStr">
        <is>
          <t>Paso 7 de 10  ·  Se calcula solo  ·  Sigue: A6 TABLERO</t>
        </is>
      </c>
    </row>
    <row r="5" ht="21" customHeight="1" s="173">
      <c r="B5" s="216" t="inlineStr">
        <is>
          <t>MITIGACIÓN APLICADA — SE CALCULA UNA SOLA VEZ, A NIVEL ENTIDAD</t>
        </is>
      </c>
    </row>
    <row r="6" ht="15" customHeight="1" s="173">
      <c r="B6" s="274" t="inlineStr">
        <is>
          <t>Efectividad de los mitigantes contra el catálogo de 14 obligaciones (hoja A4 CONTROLES MINIMOS):</t>
        </is>
      </c>
      <c r="F6" s="275">
        <f>'A4 CONTROLES MINIMOS'!$F$28</f>
        <v/>
      </c>
    </row>
    <row r="7" ht="15" customHeight="1" s="173">
      <c r="B7" s="274" t="inlineStr">
        <is>
          <t>Tope máximo de reducción (PARÁMETROS, celda C30):</t>
        </is>
      </c>
      <c r="F7" s="267">
        <f>PARAMETROS!$C$30</f>
        <v/>
      </c>
    </row>
    <row r="8" ht="15" customHeight="1" s="173">
      <c r="B8" s="276" t="inlineStr">
        <is>
          <t>Reducción aplicada = Efectividad × Tope:</t>
        </is>
      </c>
      <c r="F8" s="272">
        <f>$F$6*$F$7</f>
        <v/>
      </c>
    </row>
    <row r="9" ht="15" customHeight="1" s="173">
      <c r="B9" s="240" t="inlineStr">
        <is>
          <t>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is>
      </c>
    </row>
    <row r="11" ht="21" customHeight="1" s="173">
      <c r="B11" s="216" t="inlineStr">
        <is>
          <t>1 · RIESGO RESIDUAL DE LA ENTIDAD</t>
        </is>
      </c>
    </row>
    <row r="12" ht="27.75" customHeight="1" s="173">
      <c r="B12" s="178" t="inlineStr">
        <is>
          <t>#</t>
        </is>
      </c>
      <c r="C12" s="178" t="inlineStr">
        <is>
          <t>Ámbito evaluado</t>
        </is>
      </c>
      <c r="D12" s="178" t="inlineStr">
        <is>
          <t>Riesgo inh.</t>
        </is>
      </c>
      <c r="E12" s="178" t="inlineStr">
        <is>
          <t>Reducción</t>
        </is>
      </c>
      <c r="F12" s="178" t="inlineStr">
        <is>
          <t>Riesgo resid.</t>
        </is>
      </c>
      <c r="G12" s="178" t="inlineStr">
        <is>
          <t>Nivel</t>
        </is>
      </c>
      <c r="H12" s="178" t="inlineStr">
        <is>
          <t>Tratamiento</t>
        </is>
      </c>
    </row>
    <row r="13" ht="15" customHeight="1" s="173">
      <c r="B13" s="277" t="n"/>
      <c r="C13" s="222" t="inlineStr">
        <is>
          <t>ENTIDAD · resultado ponderado de los 4 elementos</t>
        </is>
      </c>
      <c r="D13" s="278">
        <f>'A3 INHERENTE'!E12</f>
        <v/>
      </c>
      <c r="E13" s="279">
        <f>$F$8</f>
        <v/>
      </c>
      <c r="F13" s="278">
        <f>D13*(1-E13)</f>
        <v/>
      </c>
      <c r="G13" s="277">
        <f>IFERROR(INDEX(PARAMETROS!$E$15:$E$19,MATCH(F13,PARAMETROS!$B$15:$B$19,1)),"")</f>
        <v/>
      </c>
      <c r="H13" s="280">
        <f>IF(G13="","",IFERROR(IF(MATCH(G13,PARAMETROS!$E$15:$E$19,0)&gt;MATCH(PARAMETROS!$C$25,PARAMETROS!$E$15:$E$19,0),"Plan de acción / mitigar","Aceptable / monitorear"),"Declara el nivel de tolerancia en PARÁMETROS C25"))</f>
        <v/>
      </c>
    </row>
    <row r="15" ht="21" customHeight="1" s="173">
      <c r="B15" s="216" t="inlineStr">
        <is>
          <t>2 · RIESGO RESIDUAL POR ELEMENTO (Art. 10 Septies 1, fr. I)</t>
        </is>
      </c>
    </row>
    <row r="16" ht="27.75" customHeight="1" s="173">
      <c r="B16" s="178" t="inlineStr">
        <is>
          <t>#</t>
        </is>
      </c>
      <c r="C16" s="178" t="inlineStr">
        <is>
          <t>Ámbito evaluado</t>
        </is>
      </c>
      <c r="D16" s="178" t="inlineStr">
        <is>
          <t>Riesgo inh.</t>
        </is>
      </c>
      <c r="E16" s="178" t="inlineStr">
        <is>
          <t>Reducción</t>
        </is>
      </c>
      <c r="F16" s="178" t="inlineStr">
        <is>
          <t>Riesgo resid.</t>
        </is>
      </c>
      <c r="G16" s="178" t="inlineStr">
        <is>
          <t>Nivel</t>
        </is>
      </c>
      <c r="H16" s="178" t="inlineStr">
        <is>
          <t>Tratamiento</t>
        </is>
      </c>
    </row>
    <row r="17" ht="15" customHeight="1" s="173">
      <c r="B17" s="238" t="n">
        <v>1</v>
      </c>
      <c r="C17" s="236" t="inlineStr">
        <is>
          <t>1. Actos u operaciones</t>
        </is>
      </c>
      <c r="D17" s="237">
        <f>'A3 INHERENTE'!E7</f>
        <v/>
      </c>
      <c r="E17" s="267">
        <f>$F$8</f>
        <v/>
      </c>
      <c r="F17" s="237">
        <f>D17*(1-E17)</f>
        <v/>
      </c>
      <c r="G17" s="238">
        <f>IFERROR(INDEX(PARAMETROS!$E$15:$E$19,MATCH(F17,PARAMETROS!$B$15:$B$19,1)),"")</f>
        <v/>
      </c>
      <c r="H17" s="236">
        <f>IF(G17="","",IFERROR(IF(MATCH(G17,PARAMETROS!$E$15:$E$19,0)&gt;MATCH(PARAMETROS!$C$25,PARAMETROS!$E$15:$E$19,0),"Plan de acción / mitigar","Aceptable / monitorear"),"Declara el nivel de tolerancia en PARÁMETROS C25"))</f>
        <v/>
      </c>
    </row>
    <row r="18" ht="15" customHeight="1" s="173">
      <c r="B18" s="238" t="n">
        <v>2</v>
      </c>
      <c r="C18" s="236" t="inlineStr">
        <is>
          <t>2. Clientes / Usuarios</t>
        </is>
      </c>
      <c r="D18" s="237">
        <f>'A3 INHERENTE'!E8</f>
        <v/>
      </c>
      <c r="E18" s="267">
        <f>$F$8</f>
        <v/>
      </c>
      <c r="F18" s="237">
        <f>D18*(1-E18)</f>
        <v/>
      </c>
      <c r="G18" s="238">
        <f>IFERROR(INDEX(PARAMETROS!$E$15:$E$19,MATCH(F18,PARAMETROS!$B$15:$B$19,1)),"")</f>
        <v/>
      </c>
      <c r="H18" s="236">
        <f>IF(G18="","",IFERROR(IF(MATCH(G18,PARAMETROS!$E$15:$E$19,0)&gt;MATCH(PARAMETROS!$C$25,PARAMETROS!$E$15:$E$19,0),"Plan de acción / mitigar","Aceptable / monitorear"),"Declara el nivel de tolerancia en PARÁMETROS C25"))</f>
        <v/>
      </c>
    </row>
    <row r="19" ht="15" customHeight="1" s="173">
      <c r="B19" s="238" t="n">
        <v>3</v>
      </c>
      <c r="C19" s="236" t="inlineStr">
        <is>
          <t>3. Países y áreas geográficas</t>
        </is>
      </c>
      <c r="D19" s="237">
        <f>'A3 INHERENTE'!E9</f>
        <v/>
      </c>
      <c r="E19" s="267">
        <f>$F$8</f>
        <v/>
      </c>
      <c r="F19" s="237">
        <f>D19*(1-E19)</f>
        <v/>
      </c>
      <c r="G19" s="238">
        <f>IFERROR(INDEX(PARAMETROS!$E$15:$E$19,MATCH(F19,PARAMETROS!$B$15:$B$19,1)),"")</f>
        <v/>
      </c>
      <c r="H19" s="236">
        <f>IF(G19="","",IFERROR(IF(MATCH(G19,PARAMETROS!$E$15:$E$19,0)&gt;MATCH(PARAMETROS!$C$25,PARAMETROS!$E$15:$E$19,0),"Plan de acción / mitigar","Aceptable / monitorear"),"Declara el nivel de tolerancia en PARÁMETROS C25"))</f>
        <v/>
      </c>
    </row>
    <row r="20" ht="15" customHeight="1" s="173">
      <c r="B20" s="238" t="n">
        <v>4</v>
      </c>
      <c r="C20" s="236" t="inlineStr">
        <is>
          <t>4. Transacciones y canales</t>
        </is>
      </c>
      <c r="D20" s="237">
        <f>'A3 INHERENTE'!E10</f>
        <v/>
      </c>
      <c r="E20" s="267">
        <f>$F$8</f>
        <v/>
      </c>
      <c r="F20" s="237">
        <f>D20*(1-E20)</f>
        <v/>
      </c>
      <c r="G20" s="238">
        <f>IFERROR(INDEX(PARAMETROS!$E$15:$E$19,MATCH(F20,PARAMETROS!$B$15:$B$19,1)),"")</f>
        <v/>
      </c>
      <c r="H20" s="236">
        <f>IF(G20="","",IFERROR(IF(MATCH(G20,PARAMETROS!$E$15:$E$19,0)&gt;MATCH(PARAMETROS!$C$25,PARAMETROS!$E$15:$E$19,0),"Plan de acción / mitigar","Aceptable / monitorear"),"Declara el nivel de tolerancia en PARÁMETROS C25"))</f>
        <v/>
      </c>
    </row>
    <row r="22" ht="21" customHeight="1" s="173">
      <c r="B22" s="216" t="inlineStr">
        <is>
          <t>3 · RIESGO RESIDUAL POR INDICADOR (Art. 10 Septies 1, fr. II)</t>
        </is>
      </c>
    </row>
    <row r="23" ht="27.75" customHeight="1" s="173">
      <c r="B23" s="178" t="inlineStr">
        <is>
          <t>#</t>
        </is>
      </c>
      <c r="C23" s="178" t="inlineStr">
        <is>
          <t>Ámbito evaluado</t>
        </is>
      </c>
      <c r="D23" s="178" t="inlineStr">
        <is>
          <t>Riesgo inh.</t>
        </is>
      </c>
      <c r="E23" s="178" t="inlineStr">
        <is>
          <t>Reducción</t>
        </is>
      </c>
      <c r="F23" s="178" t="inlineStr">
        <is>
          <t>Riesgo resid.</t>
        </is>
      </c>
      <c r="G23" s="178" t="inlineStr">
        <is>
          <t>Nivel</t>
        </is>
      </c>
      <c r="H23" s="178" t="inlineStr">
        <is>
          <t>Tratamiento</t>
        </is>
      </c>
      <c r="I23" s="178" t="inlineStr">
        <is>
          <t>Orden</t>
        </is>
      </c>
    </row>
    <row r="24" ht="25.5" customHeight="1" s="173">
      <c r="B24" s="238">
        <f>'A3 INHERENTE'!B16</f>
        <v/>
      </c>
      <c r="C24" s="181">
        <f>'A3 INHERENTE'!C16</f>
        <v/>
      </c>
      <c r="D24" s="237">
        <f>'A3 INHERENTE'!F16</f>
        <v/>
      </c>
      <c r="E24" s="267">
        <f>IF($D24="N/A","",$F$8)</f>
        <v/>
      </c>
      <c r="F24" s="237">
        <f>IF($D24="N/A","N/A",D24*(1-E24))</f>
        <v/>
      </c>
      <c r="G24" s="238">
        <f>IF($D24="N/A","No aplica",IFERROR(INDEX(PARAMETROS!$E$15:$E$19,MATCH(F24,PARAMETROS!$B$15:$B$19,1)),""))</f>
        <v/>
      </c>
      <c r="H24" s="236">
        <f>IF(OR($D24="N/A",$G24=""),"",IFERROR(IF(MATCH($G24,PARAMETROS!$E$15:$E$19,0)&gt;MATCH(PARAMETROS!$C$25,PARAMETROS!$E$15:$E$19,0),"Plan de acción / mitigar","Aceptable / monitorear"),"Declara el nivel de tolerancia en PARÁMETROS C25"))</f>
        <v/>
      </c>
      <c r="I24" s="281">
        <f>IF($D24="N/A",-1,F24+(49-ROW())/100000)</f>
        <v/>
      </c>
    </row>
    <row r="25" ht="25.5" customHeight="1" s="173">
      <c r="B25" s="238">
        <f>'A3 INHERENTE'!B17</f>
        <v/>
      </c>
      <c r="C25" s="181">
        <f>'A3 INHERENTE'!C17</f>
        <v/>
      </c>
      <c r="D25" s="237">
        <f>'A3 INHERENTE'!F17</f>
        <v/>
      </c>
      <c r="E25" s="267">
        <f>IF($D25="N/A","",$F$8)</f>
        <v/>
      </c>
      <c r="F25" s="237">
        <f>IF($D25="N/A","N/A",D25*(1-E25))</f>
        <v/>
      </c>
      <c r="G25" s="238">
        <f>IF($D25="N/A","No aplica",IFERROR(INDEX(PARAMETROS!$E$15:$E$19,MATCH(F25,PARAMETROS!$B$15:$B$19,1)),""))</f>
        <v/>
      </c>
      <c r="H25" s="236">
        <f>IF(OR($D25="N/A",$G25=""),"",IFERROR(IF(MATCH($G25,PARAMETROS!$E$15:$E$19,0)&gt;MATCH(PARAMETROS!$C$25,PARAMETROS!$E$15:$E$19,0),"Plan de acción / mitigar","Aceptable / monitorear"),"Declara el nivel de tolerancia en PARÁMETROS C25"))</f>
        <v/>
      </c>
      <c r="I25" s="281">
        <f>IF($D25="N/A",-1,F25+(49-ROW())/100000)</f>
        <v/>
      </c>
    </row>
    <row r="26" ht="25.5" customHeight="1" s="173">
      <c r="B26" s="238">
        <f>'A3 INHERENTE'!B18</f>
        <v/>
      </c>
      <c r="C26" s="181">
        <f>'A3 INHERENTE'!C18</f>
        <v/>
      </c>
      <c r="D26" s="237">
        <f>'A3 INHERENTE'!F18</f>
        <v/>
      </c>
      <c r="E26" s="267">
        <f>IF($D26="N/A","",$F$8)</f>
        <v/>
      </c>
      <c r="F26" s="237">
        <f>IF($D26="N/A","N/A",D26*(1-E26))</f>
        <v/>
      </c>
      <c r="G26" s="238">
        <f>IF($D26="N/A","No aplica",IFERROR(INDEX(PARAMETROS!$E$15:$E$19,MATCH(F26,PARAMETROS!$B$15:$B$19,1)),""))</f>
        <v/>
      </c>
      <c r="H26" s="236">
        <f>IF(OR($D26="N/A",$G26=""),"",IFERROR(IF(MATCH($G26,PARAMETROS!$E$15:$E$19,0)&gt;MATCH(PARAMETROS!$C$25,PARAMETROS!$E$15:$E$19,0),"Plan de acción / mitigar","Aceptable / monitorear"),"Declara el nivel de tolerancia en PARÁMETROS C25"))</f>
        <v/>
      </c>
      <c r="I26" s="281">
        <f>IF($D26="N/A",-1,F26+(49-ROW())/100000)</f>
        <v/>
      </c>
    </row>
    <row r="27" ht="25.5" customHeight="1" s="173">
      <c r="B27" s="238">
        <f>'A3 INHERENTE'!B19</f>
        <v/>
      </c>
      <c r="C27" s="181">
        <f>'A3 INHERENTE'!C19</f>
        <v/>
      </c>
      <c r="D27" s="237">
        <f>'A3 INHERENTE'!F19</f>
        <v/>
      </c>
      <c r="E27" s="267">
        <f>IF($D27="N/A","",$F$8)</f>
        <v/>
      </c>
      <c r="F27" s="237">
        <f>IF($D27="N/A","N/A",D27*(1-E27))</f>
        <v/>
      </c>
      <c r="G27" s="238">
        <f>IF($D27="N/A","No aplica",IFERROR(INDEX(PARAMETROS!$E$15:$E$19,MATCH(F27,PARAMETROS!$B$15:$B$19,1)),""))</f>
        <v/>
      </c>
      <c r="H27" s="236">
        <f>IF(OR($D27="N/A",$G27=""),"",IFERROR(IF(MATCH($G27,PARAMETROS!$E$15:$E$19,0)&gt;MATCH(PARAMETROS!$C$25,PARAMETROS!$E$15:$E$19,0),"Plan de acción / mitigar","Aceptable / monitorear"),"Declara el nivel de tolerancia en PARÁMETROS C25"))</f>
        <v/>
      </c>
      <c r="I27" s="281">
        <f>IF($D27="N/A",-1,F27+(49-ROW())/100000)</f>
        <v/>
      </c>
    </row>
    <row r="28" ht="25.5" customHeight="1" s="173">
      <c r="B28" s="238">
        <f>'A3 INHERENTE'!B20</f>
        <v/>
      </c>
      <c r="C28" s="181">
        <f>'A3 INHERENTE'!C20</f>
        <v/>
      </c>
      <c r="D28" s="237">
        <f>'A3 INHERENTE'!F20</f>
        <v/>
      </c>
      <c r="E28" s="267">
        <f>IF($D28="N/A","",$F$8)</f>
        <v/>
      </c>
      <c r="F28" s="237">
        <f>IF($D28="N/A","N/A",D28*(1-E28))</f>
        <v/>
      </c>
      <c r="G28" s="238">
        <f>IF($D28="N/A","No aplica",IFERROR(INDEX(PARAMETROS!$E$15:$E$19,MATCH(F28,PARAMETROS!$B$15:$B$19,1)),""))</f>
        <v/>
      </c>
      <c r="H28" s="236">
        <f>IF(OR($D28="N/A",$G28=""),"",IFERROR(IF(MATCH($G28,PARAMETROS!$E$15:$E$19,0)&gt;MATCH(PARAMETROS!$C$25,PARAMETROS!$E$15:$E$19,0),"Plan de acción / mitigar","Aceptable / monitorear"),"Declara el nivel de tolerancia en PARÁMETROS C25"))</f>
        <v/>
      </c>
      <c r="I28" s="281">
        <f>IF($D28="N/A",-1,F28+(49-ROW())/100000)</f>
        <v/>
      </c>
    </row>
    <row r="29" ht="25.5" customHeight="1" s="173">
      <c r="B29" s="238">
        <f>'A3 INHERENTE'!B21</f>
        <v/>
      </c>
      <c r="C29" s="181">
        <f>'A3 INHERENTE'!C21</f>
        <v/>
      </c>
      <c r="D29" s="237">
        <f>'A3 INHERENTE'!F21</f>
        <v/>
      </c>
      <c r="E29" s="267">
        <f>IF($D29="N/A","",$F$8)</f>
        <v/>
      </c>
      <c r="F29" s="237">
        <f>IF($D29="N/A","N/A",D29*(1-E29))</f>
        <v/>
      </c>
      <c r="G29" s="238">
        <f>IF($D29="N/A","No aplica",IFERROR(INDEX(PARAMETROS!$E$15:$E$19,MATCH(F29,PARAMETROS!$B$15:$B$19,1)),""))</f>
        <v/>
      </c>
      <c r="H29" s="236">
        <f>IF(OR($D29="N/A",$G29=""),"",IFERROR(IF(MATCH($G29,PARAMETROS!$E$15:$E$19,0)&gt;MATCH(PARAMETROS!$C$25,PARAMETROS!$E$15:$E$19,0),"Plan de acción / mitigar","Aceptable / monitorear"),"Declara el nivel de tolerancia en PARÁMETROS C25"))</f>
        <v/>
      </c>
      <c r="I29" s="281">
        <f>IF($D29="N/A",-1,F29+(49-ROW())/100000)</f>
        <v/>
      </c>
    </row>
    <row r="30" ht="25.5" customHeight="1" s="173">
      <c r="B30" s="238">
        <f>'A3 INHERENTE'!B22</f>
        <v/>
      </c>
      <c r="C30" s="181">
        <f>'A3 INHERENTE'!C22</f>
        <v/>
      </c>
      <c r="D30" s="237">
        <f>'A3 INHERENTE'!F22</f>
        <v/>
      </c>
      <c r="E30" s="267">
        <f>IF($D30="N/A","",$F$8)</f>
        <v/>
      </c>
      <c r="F30" s="237">
        <f>IF($D30="N/A","N/A",D30*(1-E30))</f>
        <v/>
      </c>
      <c r="G30" s="238">
        <f>IF($D30="N/A","No aplica",IFERROR(INDEX(PARAMETROS!$E$15:$E$19,MATCH(F30,PARAMETROS!$B$15:$B$19,1)),""))</f>
        <v/>
      </c>
      <c r="H30" s="236">
        <f>IF(OR($D30="N/A",$G30=""),"",IFERROR(IF(MATCH($G30,PARAMETROS!$E$15:$E$19,0)&gt;MATCH(PARAMETROS!$C$25,PARAMETROS!$E$15:$E$19,0),"Plan de acción / mitigar","Aceptable / monitorear"),"Declara el nivel de tolerancia en PARÁMETROS C25"))</f>
        <v/>
      </c>
      <c r="I30" s="281">
        <f>IF($D30="N/A",-1,F30+(49-ROW())/100000)</f>
        <v/>
      </c>
    </row>
    <row r="31" ht="25.5" customHeight="1" s="173">
      <c r="B31" s="238">
        <f>'A3 INHERENTE'!B23</f>
        <v/>
      </c>
      <c r="C31" s="181">
        <f>'A3 INHERENTE'!C23</f>
        <v/>
      </c>
      <c r="D31" s="237">
        <f>'A3 INHERENTE'!F23</f>
        <v/>
      </c>
      <c r="E31" s="267">
        <f>IF($D31="N/A","",$F$8)</f>
        <v/>
      </c>
      <c r="F31" s="237">
        <f>IF($D31="N/A","N/A",D31*(1-E31))</f>
        <v/>
      </c>
      <c r="G31" s="238">
        <f>IF($D31="N/A","No aplica",IFERROR(INDEX(PARAMETROS!$E$15:$E$19,MATCH(F31,PARAMETROS!$B$15:$B$19,1)),""))</f>
        <v/>
      </c>
      <c r="H31" s="236">
        <f>IF(OR($D31="N/A",$G31=""),"",IFERROR(IF(MATCH($G31,PARAMETROS!$E$15:$E$19,0)&gt;MATCH(PARAMETROS!$C$25,PARAMETROS!$E$15:$E$19,0),"Plan de acción / mitigar","Aceptable / monitorear"),"Declara el nivel de tolerancia en PARÁMETROS C25"))</f>
        <v/>
      </c>
      <c r="I31" s="281">
        <f>IF($D31="N/A",-1,F31+(49-ROW())/100000)</f>
        <v/>
      </c>
    </row>
    <row r="32" ht="25.5" customHeight="1" s="173">
      <c r="B32" s="238">
        <f>'A3 INHERENTE'!B24</f>
        <v/>
      </c>
      <c r="C32" s="181">
        <f>'A3 INHERENTE'!C24</f>
        <v/>
      </c>
      <c r="D32" s="237">
        <f>'A3 INHERENTE'!F24</f>
        <v/>
      </c>
      <c r="E32" s="267">
        <f>IF($D32="N/A","",$F$8)</f>
        <v/>
      </c>
      <c r="F32" s="237">
        <f>IF($D32="N/A","N/A",D32*(1-E32))</f>
        <v/>
      </c>
      <c r="G32" s="238">
        <f>IF($D32="N/A","No aplica",IFERROR(INDEX(PARAMETROS!$E$15:$E$19,MATCH(F32,PARAMETROS!$B$15:$B$19,1)),""))</f>
        <v/>
      </c>
      <c r="H32" s="236">
        <f>IF(OR($D32="N/A",$G32=""),"",IFERROR(IF(MATCH($G32,PARAMETROS!$E$15:$E$19,0)&gt;MATCH(PARAMETROS!$C$25,PARAMETROS!$E$15:$E$19,0),"Plan de acción / mitigar","Aceptable / monitorear"),"Declara el nivel de tolerancia en PARÁMETROS C25"))</f>
        <v/>
      </c>
      <c r="I32" s="281">
        <f>IF($D32="N/A",-1,F32+(49-ROW())/100000)</f>
        <v/>
      </c>
    </row>
    <row r="33" ht="25.5" customHeight="1" s="173">
      <c r="B33" s="238">
        <f>'A3 INHERENTE'!B25</f>
        <v/>
      </c>
      <c r="C33" s="181">
        <f>'A3 INHERENTE'!C25</f>
        <v/>
      </c>
      <c r="D33" s="237">
        <f>'A3 INHERENTE'!F25</f>
        <v/>
      </c>
      <c r="E33" s="267">
        <f>IF($D33="N/A","",$F$8)</f>
        <v/>
      </c>
      <c r="F33" s="237">
        <f>IF($D33="N/A","N/A",D33*(1-E33))</f>
        <v/>
      </c>
      <c r="G33" s="238">
        <f>IF($D33="N/A","No aplica",IFERROR(INDEX(PARAMETROS!$E$15:$E$19,MATCH(F33,PARAMETROS!$B$15:$B$19,1)),""))</f>
        <v/>
      </c>
      <c r="H33" s="236">
        <f>IF(OR($D33="N/A",$G33=""),"",IFERROR(IF(MATCH($G33,PARAMETROS!$E$15:$E$19,0)&gt;MATCH(PARAMETROS!$C$25,PARAMETROS!$E$15:$E$19,0),"Plan de acción / mitigar","Aceptable / monitorear"),"Declara el nivel de tolerancia en PARÁMETROS C25"))</f>
        <v/>
      </c>
      <c r="I33" s="281">
        <f>IF($D33="N/A",-1,F33+(49-ROW())/100000)</f>
        <v/>
      </c>
    </row>
    <row r="34" ht="25.5" customHeight="1" s="173">
      <c r="B34" s="238">
        <f>'A3 INHERENTE'!B26</f>
        <v/>
      </c>
      <c r="C34" s="181">
        <f>'A3 INHERENTE'!C26</f>
        <v/>
      </c>
      <c r="D34" s="237">
        <f>'A3 INHERENTE'!F26</f>
        <v/>
      </c>
      <c r="E34" s="267">
        <f>IF($D34="N/A","",$F$8)</f>
        <v/>
      </c>
      <c r="F34" s="237">
        <f>IF($D34="N/A","N/A",D34*(1-E34))</f>
        <v/>
      </c>
      <c r="G34" s="238">
        <f>IF($D34="N/A","No aplica",IFERROR(INDEX(PARAMETROS!$E$15:$E$19,MATCH(F34,PARAMETROS!$B$15:$B$19,1)),""))</f>
        <v/>
      </c>
      <c r="H34" s="236">
        <f>IF(OR($D34="N/A",$G34=""),"",IFERROR(IF(MATCH($G34,PARAMETROS!$E$15:$E$19,0)&gt;MATCH(PARAMETROS!$C$25,PARAMETROS!$E$15:$E$19,0),"Plan de acción / mitigar","Aceptable / monitorear"),"Declara el nivel de tolerancia en PARÁMETROS C25"))</f>
        <v/>
      </c>
      <c r="I34" s="281">
        <f>IF($D34="N/A",-1,F34+(49-ROW())/100000)</f>
        <v/>
      </c>
    </row>
    <row r="35" ht="25.5" customHeight="1" s="173">
      <c r="B35" s="238">
        <f>'A3 INHERENTE'!B27</f>
        <v/>
      </c>
      <c r="C35" s="181">
        <f>'A3 INHERENTE'!C27</f>
        <v/>
      </c>
      <c r="D35" s="237">
        <f>'A3 INHERENTE'!F27</f>
        <v/>
      </c>
      <c r="E35" s="267">
        <f>IF($D35="N/A","",$F$8)</f>
        <v/>
      </c>
      <c r="F35" s="237">
        <f>IF($D35="N/A","N/A",D35*(1-E35))</f>
        <v/>
      </c>
      <c r="G35" s="238">
        <f>IF($D35="N/A","No aplica",IFERROR(INDEX(PARAMETROS!$E$15:$E$19,MATCH(F35,PARAMETROS!$B$15:$B$19,1)),""))</f>
        <v/>
      </c>
      <c r="H35" s="236">
        <f>IF(OR($D35="N/A",$G35=""),"",IFERROR(IF(MATCH($G35,PARAMETROS!$E$15:$E$19,0)&gt;MATCH(PARAMETROS!$C$25,PARAMETROS!$E$15:$E$19,0),"Plan de acción / mitigar","Aceptable / monitorear"),"Declara el nivel de tolerancia en PARÁMETROS C25"))</f>
        <v/>
      </c>
      <c r="I35" s="281">
        <f>IF($D35="N/A",-1,F35+(49-ROW())/100000)</f>
        <v/>
      </c>
    </row>
    <row r="36" ht="25.5" customHeight="1" s="173">
      <c r="B36" s="238">
        <f>'A3 INHERENTE'!B28</f>
        <v/>
      </c>
      <c r="C36" s="181">
        <f>'A3 INHERENTE'!C28</f>
        <v/>
      </c>
      <c r="D36" s="237">
        <f>'A3 INHERENTE'!F28</f>
        <v/>
      </c>
      <c r="E36" s="267">
        <f>IF($D36="N/A","",$F$8)</f>
        <v/>
      </c>
      <c r="F36" s="237">
        <f>IF($D36="N/A","N/A",D36*(1-E36))</f>
        <v/>
      </c>
      <c r="G36" s="238">
        <f>IF($D36="N/A","No aplica",IFERROR(INDEX(PARAMETROS!$E$15:$E$19,MATCH(F36,PARAMETROS!$B$15:$B$19,1)),""))</f>
        <v/>
      </c>
      <c r="H36" s="236">
        <f>IF(OR($D36="N/A",$G36=""),"",IFERROR(IF(MATCH($G36,PARAMETROS!$E$15:$E$19,0)&gt;MATCH(PARAMETROS!$C$25,PARAMETROS!$E$15:$E$19,0),"Plan de acción / mitigar","Aceptable / monitorear"),"Declara el nivel de tolerancia en PARÁMETROS C25"))</f>
        <v/>
      </c>
      <c r="I36" s="281">
        <f>IF($D36="N/A",-1,F36+(49-ROW())/100000)</f>
        <v/>
      </c>
    </row>
    <row r="37" ht="25.5" customHeight="1" s="173">
      <c r="B37" s="238">
        <f>'A3 INHERENTE'!B29</f>
        <v/>
      </c>
      <c r="C37" s="181">
        <f>'A3 INHERENTE'!C29</f>
        <v/>
      </c>
      <c r="D37" s="237">
        <f>'A3 INHERENTE'!F29</f>
        <v/>
      </c>
      <c r="E37" s="267">
        <f>IF($D37="N/A","",$F$8)</f>
        <v/>
      </c>
      <c r="F37" s="237">
        <f>IF($D37="N/A","N/A",D37*(1-E37))</f>
        <v/>
      </c>
      <c r="G37" s="238">
        <f>IF($D37="N/A","No aplica",IFERROR(INDEX(PARAMETROS!$E$15:$E$19,MATCH(F37,PARAMETROS!$B$15:$B$19,1)),""))</f>
        <v/>
      </c>
      <c r="H37" s="236">
        <f>IF(OR($D37="N/A",$G37=""),"",IFERROR(IF(MATCH($G37,PARAMETROS!$E$15:$E$19,0)&gt;MATCH(PARAMETROS!$C$25,PARAMETROS!$E$15:$E$19,0),"Plan de acción / mitigar","Aceptable / monitorear"),"Declara el nivel de tolerancia en PARÁMETROS C25"))</f>
        <v/>
      </c>
      <c r="I37" s="281">
        <f>IF($D37="N/A",-1,F37+(49-ROW())/100000)</f>
        <v/>
      </c>
    </row>
    <row r="38" ht="25.5" customHeight="1" s="173">
      <c r="B38" s="238">
        <f>'A3 INHERENTE'!B30</f>
        <v/>
      </c>
      <c r="C38" s="181">
        <f>'A3 INHERENTE'!C30</f>
        <v/>
      </c>
      <c r="D38" s="237">
        <f>'A3 INHERENTE'!F30</f>
        <v/>
      </c>
      <c r="E38" s="267">
        <f>IF($D38="N/A","",$F$8)</f>
        <v/>
      </c>
      <c r="F38" s="237">
        <f>IF($D38="N/A","N/A",D38*(1-E38))</f>
        <v/>
      </c>
      <c r="G38" s="238">
        <f>IF($D38="N/A","No aplica",IFERROR(INDEX(PARAMETROS!$E$15:$E$19,MATCH(F38,PARAMETROS!$B$15:$B$19,1)),""))</f>
        <v/>
      </c>
      <c r="H38" s="236">
        <f>IF(OR($D38="N/A",$G38=""),"",IFERROR(IF(MATCH($G38,PARAMETROS!$E$15:$E$19,0)&gt;MATCH(PARAMETROS!$C$25,PARAMETROS!$E$15:$E$19,0),"Plan de acción / mitigar","Aceptable / monitorear"),"Declara el nivel de tolerancia en PARÁMETROS C25"))</f>
        <v/>
      </c>
      <c r="I38" s="281">
        <f>IF($D38="N/A",-1,F38+(49-ROW())/100000)</f>
        <v/>
      </c>
    </row>
    <row r="39" ht="25.5" customHeight="1" s="173">
      <c r="B39" s="238">
        <f>'A3 INHERENTE'!B31</f>
        <v/>
      </c>
      <c r="C39" s="181">
        <f>'A3 INHERENTE'!C31</f>
        <v/>
      </c>
      <c r="D39" s="237">
        <f>'A3 INHERENTE'!F31</f>
        <v/>
      </c>
      <c r="E39" s="267">
        <f>IF($D39="N/A","",$F$8)</f>
        <v/>
      </c>
      <c r="F39" s="237">
        <f>IF($D39="N/A","N/A",D39*(1-E39))</f>
        <v/>
      </c>
      <c r="G39" s="238">
        <f>IF($D39="N/A","No aplica",IFERROR(INDEX(PARAMETROS!$E$15:$E$19,MATCH(F39,PARAMETROS!$B$15:$B$19,1)),""))</f>
        <v/>
      </c>
      <c r="H39" s="236">
        <f>IF(OR($D39="N/A",$G39=""),"",IFERROR(IF(MATCH($G39,PARAMETROS!$E$15:$E$19,0)&gt;MATCH(PARAMETROS!$C$25,PARAMETROS!$E$15:$E$19,0),"Plan de acción / mitigar","Aceptable / monitorear"),"Declara el nivel de tolerancia en PARÁMETROS C25"))</f>
        <v/>
      </c>
      <c r="I39" s="281">
        <f>IF($D39="N/A",-1,F39+(49-ROW())/100000)</f>
        <v/>
      </c>
    </row>
    <row r="40" ht="25.5" customHeight="1" s="173">
      <c r="B40" s="238">
        <f>'A3 INHERENTE'!B32</f>
        <v/>
      </c>
      <c r="C40" s="181">
        <f>'A3 INHERENTE'!C32</f>
        <v/>
      </c>
      <c r="D40" s="237">
        <f>'A3 INHERENTE'!F32</f>
        <v/>
      </c>
      <c r="E40" s="267">
        <f>IF($D40="N/A","",$F$8)</f>
        <v/>
      </c>
      <c r="F40" s="237">
        <f>IF($D40="N/A","N/A",D40*(1-E40))</f>
        <v/>
      </c>
      <c r="G40" s="238">
        <f>IF($D40="N/A","No aplica",IFERROR(INDEX(PARAMETROS!$E$15:$E$19,MATCH(F40,PARAMETROS!$B$15:$B$19,1)),""))</f>
        <v/>
      </c>
      <c r="H40" s="236">
        <f>IF(OR($D40="N/A",$G40=""),"",IFERROR(IF(MATCH($G40,PARAMETROS!$E$15:$E$19,0)&gt;MATCH(PARAMETROS!$C$25,PARAMETROS!$E$15:$E$19,0),"Plan de acción / mitigar","Aceptable / monitorear"),"Declara el nivel de tolerancia en PARÁMETROS C25"))</f>
        <v/>
      </c>
      <c r="I40" s="281">
        <f>IF($D40="N/A",-1,F40+(49-ROW())/100000)</f>
        <v/>
      </c>
    </row>
    <row r="41" ht="25.5" customHeight="1" s="173">
      <c r="B41" s="238">
        <f>'A3 INHERENTE'!B33</f>
        <v/>
      </c>
      <c r="C41" s="181">
        <f>'A3 INHERENTE'!C33</f>
        <v/>
      </c>
      <c r="D41" s="237">
        <f>'A3 INHERENTE'!F33</f>
        <v/>
      </c>
      <c r="E41" s="267">
        <f>IF($D41="N/A","",$F$8)</f>
        <v/>
      </c>
      <c r="F41" s="237">
        <f>IF($D41="N/A","N/A",D41*(1-E41))</f>
        <v/>
      </c>
      <c r="G41" s="238">
        <f>IF($D41="N/A","No aplica",IFERROR(INDEX(PARAMETROS!$E$15:$E$19,MATCH(F41,PARAMETROS!$B$15:$B$19,1)),""))</f>
        <v/>
      </c>
      <c r="H41" s="236">
        <f>IF(OR($D41="N/A",$G41=""),"",IFERROR(IF(MATCH($G41,PARAMETROS!$E$15:$E$19,0)&gt;MATCH(PARAMETROS!$C$25,PARAMETROS!$E$15:$E$19,0),"Plan de acción / mitigar","Aceptable / monitorear"),"Declara el nivel de tolerancia en PARÁMETROS C25"))</f>
        <v/>
      </c>
      <c r="I41" s="281">
        <f>IF($D41="N/A",-1,F41+(49-ROW())/100000)</f>
        <v/>
      </c>
    </row>
    <row r="42" ht="25.5" customHeight="1" s="173">
      <c r="B42" s="238">
        <f>'A3 INHERENTE'!B34</f>
        <v/>
      </c>
      <c r="C42" s="181">
        <f>'A3 INHERENTE'!C34</f>
        <v/>
      </c>
      <c r="D42" s="237">
        <f>'A3 INHERENTE'!F34</f>
        <v/>
      </c>
      <c r="E42" s="267">
        <f>IF($D42="N/A","",$F$8)</f>
        <v/>
      </c>
      <c r="F42" s="237">
        <f>IF($D42="N/A","N/A",D42*(1-E42))</f>
        <v/>
      </c>
      <c r="G42" s="238">
        <f>IF($D42="N/A","No aplica",IFERROR(INDEX(PARAMETROS!$E$15:$E$19,MATCH(F42,PARAMETROS!$B$15:$B$19,1)),""))</f>
        <v/>
      </c>
      <c r="H42" s="236">
        <f>IF(OR($D42="N/A",$G42=""),"",IFERROR(IF(MATCH($G42,PARAMETROS!$E$15:$E$19,0)&gt;MATCH(PARAMETROS!$C$25,PARAMETROS!$E$15:$E$19,0),"Plan de acción / mitigar","Aceptable / monitorear"),"Declara el nivel de tolerancia en PARÁMETROS C25"))</f>
        <v/>
      </c>
      <c r="I42" s="281">
        <f>IF($D42="N/A",-1,F42+(49-ROW())/100000)</f>
        <v/>
      </c>
    </row>
    <row r="43" ht="25.5" customHeight="1" s="173">
      <c r="B43" s="238">
        <f>'A3 INHERENTE'!B35</f>
        <v/>
      </c>
      <c r="C43" s="181">
        <f>'A3 INHERENTE'!C35</f>
        <v/>
      </c>
      <c r="D43" s="237">
        <f>'A3 INHERENTE'!F35</f>
        <v/>
      </c>
      <c r="E43" s="267">
        <f>IF($D43="N/A","",$F$8)</f>
        <v/>
      </c>
      <c r="F43" s="237">
        <f>IF($D43="N/A","N/A",D43*(1-E43))</f>
        <v/>
      </c>
      <c r="G43" s="238">
        <f>IF($D43="N/A","No aplica",IFERROR(INDEX(PARAMETROS!$E$15:$E$19,MATCH(F43,PARAMETROS!$B$15:$B$19,1)),""))</f>
        <v/>
      </c>
      <c r="H43" s="236">
        <f>IF(OR($D43="N/A",$G43=""),"",IFERROR(IF(MATCH($G43,PARAMETROS!$E$15:$E$19,0)&gt;MATCH(PARAMETROS!$C$25,PARAMETROS!$E$15:$E$19,0),"Plan de acción / mitigar","Aceptable / monitorear"),"Declara el nivel de tolerancia en PARÁMETROS C25"))</f>
        <v/>
      </c>
      <c r="I43" s="281">
        <f>IF($D43="N/A",-1,F43+(49-ROW())/100000)</f>
        <v/>
      </c>
    </row>
    <row r="44" ht="25.5" customHeight="1" s="173">
      <c r="B44" s="238">
        <f>'A3 INHERENTE'!B36</f>
        <v/>
      </c>
      <c r="C44" s="181">
        <f>'A3 INHERENTE'!C36</f>
        <v/>
      </c>
      <c r="D44" s="237">
        <f>'A3 INHERENTE'!F36</f>
        <v/>
      </c>
      <c r="E44" s="267">
        <f>IF($D44="N/A","",$F$8)</f>
        <v/>
      </c>
      <c r="F44" s="237">
        <f>IF($D44="N/A","N/A",D44*(1-E44))</f>
        <v/>
      </c>
      <c r="G44" s="238">
        <f>IF($D44="N/A","No aplica",IFERROR(INDEX(PARAMETROS!$E$15:$E$19,MATCH(F44,PARAMETROS!$B$15:$B$19,1)),""))</f>
        <v/>
      </c>
      <c r="H44" s="236">
        <f>IF(OR($D44="N/A",$G44=""),"",IFERROR(IF(MATCH($G44,PARAMETROS!$E$15:$E$19,0)&gt;MATCH(PARAMETROS!$C$25,PARAMETROS!$E$15:$E$19,0),"Plan de acción / mitigar","Aceptable / monitorear"),"Declara el nivel de tolerancia en PARÁMETROS C25"))</f>
        <v/>
      </c>
      <c r="I44" s="281">
        <f>IF($D44="N/A",-1,F44+(49-ROW())/100000)</f>
        <v/>
      </c>
    </row>
    <row r="45" ht="25.5" customHeight="1" s="173">
      <c r="B45" s="238">
        <f>'A3 INHERENTE'!B37</f>
        <v/>
      </c>
      <c r="C45" s="181">
        <f>'A3 INHERENTE'!C37</f>
        <v/>
      </c>
      <c r="D45" s="237">
        <f>'A3 INHERENTE'!F37</f>
        <v/>
      </c>
      <c r="E45" s="267">
        <f>IF($D45="N/A","",$F$8)</f>
        <v/>
      </c>
      <c r="F45" s="237">
        <f>IF($D45="N/A","N/A",D45*(1-E45))</f>
        <v/>
      </c>
      <c r="G45" s="238">
        <f>IF($D45="N/A","No aplica",IFERROR(INDEX(PARAMETROS!$E$15:$E$19,MATCH(F45,PARAMETROS!$B$15:$B$19,1)),""))</f>
        <v/>
      </c>
      <c r="H45" s="236">
        <f>IF(OR($D45="N/A",$G45=""),"",IFERROR(IF(MATCH($G45,PARAMETROS!$E$15:$E$19,0)&gt;MATCH(PARAMETROS!$C$25,PARAMETROS!$E$15:$E$19,0),"Plan de acción / mitigar","Aceptable / monitorear"),"Declara el nivel de tolerancia en PARÁMETROS C25"))</f>
        <v/>
      </c>
      <c r="I45" s="281">
        <f>IF($D45="N/A",-1,F45+(49-ROW())/100000)</f>
        <v/>
      </c>
    </row>
    <row r="46" ht="25.5" customHeight="1" s="173">
      <c r="B46" s="238">
        <f>'A3 INHERENTE'!B38</f>
        <v/>
      </c>
      <c r="C46" s="181">
        <f>'A3 INHERENTE'!C38</f>
        <v/>
      </c>
      <c r="D46" s="237">
        <f>'A3 INHERENTE'!F38</f>
        <v/>
      </c>
      <c r="E46" s="267">
        <f>IF($D46="N/A","",$F$8)</f>
        <v/>
      </c>
      <c r="F46" s="237">
        <f>IF($D46="N/A","N/A",D46*(1-E46))</f>
        <v/>
      </c>
      <c r="G46" s="238">
        <f>IF($D46="N/A","No aplica",IFERROR(INDEX(PARAMETROS!$E$15:$E$19,MATCH(F46,PARAMETROS!$B$15:$B$19,1)),""))</f>
        <v/>
      </c>
      <c r="H46" s="236">
        <f>IF(OR($D46="N/A",$G46=""),"",IFERROR(IF(MATCH($G46,PARAMETROS!$E$15:$E$19,0)&gt;MATCH(PARAMETROS!$C$25,PARAMETROS!$E$15:$E$19,0),"Plan de acción / mitigar","Aceptable / monitorear"),"Declara el nivel de tolerancia en PARÁMETROS C25"))</f>
        <v/>
      </c>
      <c r="I46" s="281">
        <f>IF($D46="N/A",-1,F46+(49-ROW())/100000)</f>
        <v/>
      </c>
    </row>
    <row r="47" ht="25.5" customHeight="1" s="173">
      <c r="B47" s="238">
        <f>'A3 INHERENTE'!B39</f>
        <v/>
      </c>
      <c r="C47" s="181">
        <f>'A3 INHERENTE'!C39</f>
        <v/>
      </c>
      <c r="D47" s="237">
        <f>'A3 INHERENTE'!F39</f>
        <v/>
      </c>
      <c r="E47" s="267">
        <f>IF($D47="N/A","",$F$8)</f>
        <v/>
      </c>
      <c r="F47" s="237">
        <f>IF($D47="N/A","N/A",D47*(1-E47))</f>
        <v/>
      </c>
      <c r="G47" s="238">
        <f>IF($D47="N/A","No aplica",IFERROR(INDEX(PARAMETROS!$E$15:$E$19,MATCH(F47,PARAMETROS!$B$15:$B$19,1)),""))</f>
        <v/>
      </c>
      <c r="H47" s="236">
        <f>IF(OR($D47="N/A",$G47=""),"",IFERROR(IF(MATCH($G47,PARAMETROS!$E$15:$E$19,0)&gt;MATCH(PARAMETROS!$C$25,PARAMETROS!$E$15:$E$19,0),"Plan de acción / mitigar","Aceptable / monitorear"),"Declara el nivel de tolerancia en PARÁMETROS C25"))</f>
        <v/>
      </c>
      <c r="I47" s="281">
        <f>IF($D47="N/A",-1,F47+(49-ROW())/100000)</f>
        <v/>
      </c>
    </row>
    <row r="48" ht="25.5" customHeight="1" s="173">
      <c r="B48" s="238">
        <f>'A3 INHERENTE'!B40</f>
        <v/>
      </c>
      <c r="C48" s="181">
        <f>'A3 INHERENTE'!C40</f>
        <v/>
      </c>
      <c r="D48" s="237">
        <f>'A3 INHERENTE'!F40</f>
        <v/>
      </c>
      <c r="E48" s="267">
        <f>IF($D48="N/A","",$F$8)</f>
        <v/>
      </c>
      <c r="F48" s="237">
        <f>IF($D48="N/A","N/A",D48*(1-E48))</f>
        <v/>
      </c>
      <c r="G48" s="238">
        <f>IF($D48="N/A","No aplica",IFERROR(INDEX(PARAMETROS!$E$15:$E$19,MATCH(F48,PARAMETROS!$B$15:$B$19,1)),""))</f>
        <v/>
      </c>
      <c r="H48" s="236">
        <f>IF(OR($D48="N/A",$G48=""),"",IFERROR(IF(MATCH($G48,PARAMETROS!$E$15:$E$19,0)&gt;MATCH(PARAMETROS!$C$25,PARAMETROS!$E$15:$E$19,0),"Plan de acción / mitigar","Aceptable / monitorear"),"Declara el nivel de tolerancia en PARÁMETROS C25"))</f>
        <v/>
      </c>
      <c r="I48" s="281">
        <f>IF($D48="N/A",-1,F48+(49-ROW())/100000)</f>
        <v/>
      </c>
    </row>
    <row r="50" ht="15" customHeight="1" s="173">
      <c r="B50" s="202" t="inlineStr">
        <is>
          <t>La columna «Orden» solo sirve para ordenar el top 5 del tablero sin empates. No es un dato de la metodología.</t>
        </is>
      </c>
    </row>
    <row r="51" ht="15" customHeight="1" s="173">
      <c r="B51" s="202" t="inlineStr">
        <is>
          <t>Los tres niveles usan la misma reducción porque los mitigantes se evaluaron a nivel de la entidad. Si en el futuro se documenta la efectividad por elemento o por indicador, basta sustituir la referencia de la columna «Reducción» en el bloque correspondiente.</t>
        </is>
      </c>
    </row>
  </sheetData>
  <mergeCells count="7">
    <mergeCell ref="B22:H22"/>
    <mergeCell ref="B8:E8"/>
    <mergeCell ref="B6:E6"/>
    <mergeCell ref="B7:E7"/>
    <mergeCell ref="B15:H15"/>
    <mergeCell ref="B11:H11"/>
    <mergeCell ref="B5:H5"/>
  </mergeCells>
  <conditionalFormatting sqref="G13">
    <cfRule type="expression" rank="0" priority="2" equalAverage="0" aboveAverage="0" dxfId="2" text="" percent="0" bottom="0">
      <formula>EXACT(G13,"BAJO")</formula>
    </cfRule>
    <cfRule type="expression" rank="0" priority="3" equalAverage="0" aboveAverage="0" dxfId="3" text="" percent="0" bottom="0">
      <formula>EXACT(G13,"MEDIO BAJO")</formula>
    </cfRule>
    <cfRule type="expression" rank="0" priority="4" equalAverage="0" aboveAverage="0" dxfId="4" text="" percent="0" bottom="0">
      <formula>EXACT(G13,"MEDIO")</formula>
    </cfRule>
    <cfRule type="expression" rank="0" priority="5" equalAverage="0" aboveAverage="0" dxfId="5" text="" percent="0" bottom="0">
      <formula>EXACT(G13,"MEDIO ALTO")</formula>
    </cfRule>
    <cfRule type="expression" rank="0" priority="6" equalAverage="0" aboveAverage="0" dxfId="6" text="" percent="0" bottom="0">
      <formula>EXACT(G13,"ALTO")</formula>
    </cfRule>
  </conditionalFormatting>
  <conditionalFormatting sqref="G17:G20">
    <cfRule type="expression" rank="0" priority="7" equalAverage="0" aboveAverage="0" dxfId="2" text="" percent="0" bottom="0">
      <formula>EXACT(G17,"BAJO")</formula>
    </cfRule>
    <cfRule type="expression" rank="0" priority="8" equalAverage="0" aboveAverage="0" dxfId="3" text="" percent="0" bottom="0">
      <formula>EXACT(G17,"MEDIO BAJO")</formula>
    </cfRule>
    <cfRule type="expression" rank="0" priority="9" equalAverage="0" aboveAverage="0" dxfId="4" text="" percent="0" bottom="0">
      <formula>EXACT(G17,"MEDIO")</formula>
    </cfRule>
    <cfRule type="expression" rank="0" priority="10" equalAverage="0" aboveAverage="0" dxfId="5" text="" percent="0" bottom="0">
      <formula>EXACT(G17,"MEDIO ALTO")</formula>
    </cfRule>
    <cfRule type="expression" rank="0" priority="11" equalAverage="0" aboveAverage="0" dxfId="6" text="" percent="0" bottom="0">
      <formula>EXACT(G17,"ALTO")</formula>
    </cfRule>
  </conditionalFormatting>
  <conditionalFormatting sqref="G24:G48">
    <cfRule type="expression" rank="0" priority="12" equalAverage="0" aboveAverage="0" dxfId="2" text="" percent="0" bottom="0">
      <formula>EXACT(G24,"BAJO")</formula>
    </cfRule>
    <cfRule type="expression" rank="0" priority="13" equalAverage="0" aboveAverage="0" dxfId="3" text="" percent="0" bottom="0">
      <formula>EXACT(G24,"MEDIO BAJO")</formula>
    </cfRule>
    <cfRule type="expression" rank="0" priority="14" equalAverage="0" aboveAverage="0" dxfId="4" text="" percent="0" bottom="0">
      <formula>EXACT(G24,"MEDIO")</formula>
    </cfRule>
    <cfRule type="expression" rank="0" priority="15" equalAverage="0" aboveAverage="0" dxfId="5" text="" percent="0" bottom="0">
      <formula>EXACT(G24,"MEDIO ALTO")</formula>
    </cfRule>
    <cfRule type="expression" rank="0" priority="16" equalAverage="0" aboveAverage="0" dxfId="6" text="" percent="0" bottom="0">
      <formula>EXACT(G24,"ALTO")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548235"/>
    <outlinePr summaryBelow="1" summaryRight="1"/>
    <pageSetUpPr fitToPage="0"/>
  </sheetPr>
  <dimension ref="B2: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46" customWidth="1" style="172" min="2" max="2"/>
    <col width="16" customWidth="1" style="172" min="3" max="4"/>
    <col width="26" customWidth="1" style="172" min="5" max="5"/>
    <col width="14" customWidth="1" style="172" min="6" max="6"/>
    <col width="16" customWidth="1" style="172" min="7" max="7"/>
  </cols>
  <sheetData>
    <row r="2" ht="21.75" customHeight="1" s="173">
      <c r="B2" s="174" t="inlineStr">
        <is>
          <t>A6 · TABLERO — Resumen ejecutivo</t>
        </is>
      </c>
    </row>
    <row r="3" ht="15" customHeight="1" s="173">
      <c r="B3" s="177" t="inlineStr">
        <is>
          <t>Paso 8 de 10  ·  Se calcula solo  ·  Sigue: A8 TOLERANCIA</t>
        </is>
      </c>
    </row>
    <row r="4" ht="15" customHeight="1" s="173">
      <c r="B4" s="187" t="inlineStr">
        <is>
          <t>Actividad Vulnerable:</t>
        </is>
      </c>
      <c r="C4" s="282">
        <f>INICIO!C18</f>
        <v/>
      </c>
      <c r="D4" s="179" t="n"/>
      <c r="E4" s="179" t="n"/>
      <c r="F4" s="180" t="n"/>
    </row>
    <row r="5" ht="15" customHeight="1" s="173">
      <c r="B5" s="187" t="inlineStr">
        <is>
          <t>Entidad:</t>
        </is>
      </c>
      <c r="C5" s="282">
        <f>IF(INICIO!$C$24="","(captura la razón social en INICIO)",INICIO!$C$24)</f>
        <v/>
      </c>
      <c r="D5" s="179" t="n"/>
      <c r="E5" s="179" t="n"/>
      <c r="F5" s="180" t="n"/>
    </row>
    <row r="6" ht="15" customHeight="1" s="173">
      <c r="B6" s="187" t="inlineStr">
        <is>
          <t>Fecha de evaluación:</t>
        </is>
      </c>
      <c r="C6" s="283">
        <f>IF(INICIO!$C$27="","(captura la fecha en INICIO)",INICIO!$C$27)</f>
        <v/>
      </c>
      <c r="D6" s="179" t="n"/>
      <c r="E6" s="179" t="n"/>
      <c r="F6" s="180" t="n"/>
    </row>
    <row r="8" ht="15" customHeight="1" s="173">
      <c r="B8" s="178" t="inlineStr">
        <is>
          <t>RIESGO INHERENTE DE LA ENTIDAD</t>
        </is>
      </c>
      <c r="C8" s="179" t="n"/>
      <c r="D8" s="180" t="n"/>
      <c r="E8" s="178" t="inlineStr">
        <is>
          <t>RIESGO RESIDUAL DE LA ENTIDAD</t>
        </is>
      </c>
      <c r="F8" s="179" t="n"/>
      <c r="G8" s="180" t="n"/>
    </row>
    <row r="9" ht="15" customHeight="1" s="173">
      <c r="B9" s="284">
        <f>'A3 INHERENTE'!F12</f>
        <v/>
      </c>
      <c r="C9" s="285" t="n"/>
      <c r="D9" s="286" t="n"/>
      <c r="E9" s="284">
        <f>'A5 RESIDUAL'!$G$13</f>
        <v/>
      </c>
      <c r="F9" s="285" t="n"/>
      <c r="G9" s="286" t="n"/>
    </row>
    <row r="10" ht="15" customHeight="1" s="173">
      <c r="B10" s="287" t="n"/>
      <c r="C10" s="288" t="n"/>
      <c r="D10" s="289" t="n"/>
      <c r="E10" s="287" t="n"/>
      <c r="F10" s="288" t="n"/>
      <c r="G10" s="289" t="n"/>
    </row>
    <row r="13" ht="15" customHeight="1" s="173">
      <c r="B13" s="178" t="inlineStr">
        <is>
          <t>DETALLE POR ELEMENTO</t>
        </is>
      </c>
      <c r="C13" s="179" t="n"/>
      <c r="D13" s="179" t="n"/>
      <c r="E13" s="180" t="n"/>
    </row>
    <row r="14" ht="15" customHeight="1" s="173">
      <c r="B14" s="290" t="inlineStr">
        <is>
          <t>Elemento</t>
        </is>
      </c>
      <c r="C14" s="290" t="inlineStr">
        <is>
          <t>Inherente</t>
        </is>
      </c>
      <c r="D14" s="290" t="inlineStr">
        <is>
          <t>Residual</t>
        </is>
      </c>
      <c r="E14" s="290" t="inlineStr">
        <is>
          <t>Tratamiento</t>
        </is>
      </c>
    </row>
    <row r="15" ht="15" customHeight="1" s="173">
      <c r="B15" s="291" t="inlineStr">
        <is>
          <t>1. Actos u operaciones</t>
        </is>
      </c>
      <c r="C15" s="292">
        <f>'A3 INHERENTE'!F7</f>
        <v/>
      </c>
      <c r="D15" s="292">
        <f>'A5 RESIDUAL'!G17</f>
        <v/>
      </c>
      <c r="E15" s="282">
        <f>'A5 RESIDUAL'!H17</f>
        <v/>
      </c>
    </row>
    <row r="16" ht="15" customHeight="1" s="173">
      <c r="B16" s="291" t="inlineStr">
        <is>
          <t>2. Clientes / Usuarios</t>
        </is>
      </c>
      <c r="C16" s="292">
        <f>'A3 INHERENTE'!F8</f>
        <v/>
      </c>
      <c r="D16" s="292">
        <f>'A5 RESIDUAL'!G18</f>
        <v/>
      </c>
      <c r="E16" s="282">
        <f>'A5 RESIDUAL'!H18</f>
        <v/>
      </c>
    </row>
    <row r="17" ht="15" customHeight="1" s="173">
      <c r="B17" s="291" t="inlineStr">
        <is>
          <t>3. Países y áreas geográficas</t>
        </is>
      </c>
      <c r="C17" s="292">
        <f>'A3 INHERENTE'!F9</f>
        <v/>
      </c>
      <c r="D17" s="292">
        <f>'A5 RESIDUAL'!G19</f>
        <v/>
      </c>
      <c r="E17" s="282">
        <f>'A5 RESIDUAL'!H19</f>
        <v/>
      </c>
    </row>
    <row r="18" ht="15" customHeight="1" s="173">
      <c r="B18" s="291" t="inlineStr">
        <is>
          <t>4. Transacciones y canales</t>
        </is>
      </c>
      <c r="C18" s="292">
        <f>'A3 INHERENTE'!F10</f>
        <v/>
      </c>
      <c r="D18" s="292">
        <f>'A5 RESIDUAL'!G20</f>
        <v/>
      </c>
      <c r="E18" s="282">
        <f>'A5 RESIDUAL'!H20</f>
        <v/>
      </c>
    </row>
    <row r="20" ht="15" customHeight="1" s="173">
      <c r="B20" s="175" t="inlineStr">
        <is>
          <t>Vigencia: revisar y actualizar al menos cada 12 meses o al actualizarse la ENR (Art. 10 Septies 3). Conservar 10 años.</t>
        </is>
      </c>
    </row>
    <row r="22" ht="21" customHeight="1" s="173">
      <c r="B22" s="216" t="inlineStr">
        <is>
          <t>CONSECUENCIAS DEL RESULTADO</t>
        </is>
      </c>
    </row>
    <row r="23" ht="30" customHeight="1" s="173">
      <c r="B23" s="293" t="inlineStr">
        <is>
          <t>Régimen de auditoría (Cap. XIV RCG)</t>
        </is>
      </c>
      <c r="C23" s="294">
        <f>IF(OR('A5 RESIDUAL'!$G$13="ALTO",'A5 RESIDUAL'!$G$13="MEDIO ALTO"),"Riesgo alto: la auditoría debe practicarla un auditor externo con certificación de la UIF (Art. 45).","Riesgo bajo o medio: la auditoría puede practicarla el área de auditoría interna (Art. 44).")</f>
        <v/>
      </c>
    </row>
    <row r="24" ht="61.5" customHeight="1" s="173">
      <c r="B24" s="293" t="inlineStr">
        <is>
          <t>Medidas simplificadas de identificación (Art. 15 del Reglamento)</t>
        </is>
      </c>
      <c r="C24" s="294">
        <f>IF('A5 RESIDUAL'!$G$13="BAJO","Con riesgo bajo documentado puedes aplicar medidas simplificadas (Art. 15 del Reglamento, condicionado a que el sujeto obligado sea de bajo riesgo conforme al Art. 18 fr. VII de la Ley). El expediente que corresponde a CADA cliente no depende de este resultado sino de su Grado de Riesgo: ver hoja B CLIENTE.","El nivel obtenido no permite las medidas simplificadas del Art. 15. El expediente de cada cliente se define por su Grado de Riesgo en la hoja B CLIENTE.")</f>
        <v/>
      </c>
    </row>
    <row r="25" ht="30" customHeight="1" s="173">
      <c r="B25" s="293" t="inlineStr">
        <is>
          <t>Tolerancia (PARÁMETROS, celda C25)</t>
        </is>
      </c>
      <c r="C25" s="294">
        <f>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
      </c>
    </row>
    <row r="26" ht="30" customHeight="1" s="173">
      <c r="B26" s="293" t="inlineStr">
        <is>
          <t>Vigencia (Art. 10 Septies 2 y 10 Septies 3)</t>
        </is>
      </c>
      <c r="C26" s="294">
        <f>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
      </c>
    </row>
    <row r="28" ht="21" customHeight="1" s="173">
      <c r="B28" s="216" t="inlineStr">
        <is>
          <t>LOS 5 INDICADORES CON MAYOR RIESGO RESIDUAL</t>
        </is>
      </c>
    </row>
    <row r="29" ht="15" customHeight="1" s="173">
      <c r="B29" s="178" t="inlineStr">
        <is>
          <t>Indicador</t>
        </is>
      </c>
      <c r="C29" s="178" t="inlineStr">
        <is>
          <t>Riesgo resid.</t>
        </is>
      </c>
      <c r="D29" s="178" t="inlineStr">
        <is>
          <t>Nivel</t>
        </is>
      </c>
    </row>
    <row r="30" ht="25.5" customHeight="1" s="173">
      <c r="B30" s="181">
        <f>IFERROR("#"&amp;INDEX('A5 RESIDUAL'!$B$24:$B$48,MATCH(LARGE('A5 RESIDUAL'!$I$24:$I$48,1),'A5 RESIDUAL'!$I$24:$I$48,0))&amp;" · "&amp;INDEX('A5 RESIDUAL'!$C$24:$C$48,MATCH(LARGE('A5 RESIDUAL'!$I$24:$I$48,1),'A5 RESIDUAL'!$I$24:$I$48,0)),"")</f>
        <v/>
      </c>
      <c r="C30" s="237">
        <f>IFERROR(INDEX('A5 RESIDUAL'!$F$24:$F$48,MATCH(LARGE('A5 RESIDUAL'!$I$24:$I$48,1),'A5 RESIDUAL'!$I$24:$I$48,0)),"")</f>
        <v/>
      </c>
      <c r="D30" s="238">
        <f>IFERROR(INDEX('A5 RESIDUAL'!$G$24:$G$48,MATCH(LARGE('A5 RESIDUAL'!$I$24:$I$48,1),'A5 RESIDUAL'!$I$24:$I$48,0)),"")</f>
        <v/>
      </c>
    </row>
    <row r="31" ht="25.5" customHeight="1" s="173">
      <c r="B31" s="181">
        <f>IFERROR("#"&amp;INDEX('A5 RESIDUAL'!$B$24:$B$48,MATCH(LARGE('A5 RESIDUAL'!$I$24:$I$48,2),'A5 RESIDUAL'!$I$24:$I$48,0))&amp;" · "&amp;INDEX('A5 RESIDUAL'!$C$24:$C$48,MATCH(LARGE('A5 RESIDUAL'!$I$24:$I$48,2),'A5 RESIDUAL'!$I$24:$I$48,0)),"")</f>
        <v/>
      </c>
      <c r="C31" s="237">
        <f>IFERROR(INDEX('A5 RESIDUAL'!$F$24:$F$48,MATCH(LARGE('A5 RESIDUAL'!$I$24:$I$48,2),'A5 RESIDUAL'!$I$24:$I$48,0)),"")</f>
        <v/>
      </c>
      <c r="D31" s="238">
        <f>IFERROR(INDEX('A5 RESIDUAL'!$G$24:$G$48,MATCH(LARGE('A5 RESIDUAL'!$I$24:$I$48,2),'A5 RESIDUAL'!$I$24:$I$48,0)),"")</f>
        <v/>
      </c>
    </row>
    <row r="32" ht="25.5" customHeight="1" s="173">
      <c r="B32" s="181">
        <f>IFERROR("#"&amp;INDEX('A5 RESIDUAL'!$B$24:$B$48,MATCH(LARGE('A5 RESIDUAL'!$I$24:$I$48,3),'A5 RESIDUAL'!$I$24:$I$48,0))&amp;" · "&amp;INDEX('A5 RESIDUAL'!$C$24:$C$48,MATCH(LARGE('A5 RESIDUAL'!$I$24:$I$48,3),'A5 RESIDUAL'!$I$24:$I$48,0)),"")</f>
        <v/>
      </c>
      <c r="C32" s="237">
        <f>IFERROR(INDEX('A5 RESIDUAL'!$F$24:$F$48,MATCH(LARGE('A5 RESIDUAL'!$I$24:$I$48,3),'A5 RESIDUAL'!$I$24:$I$48,0)),"")</f>
        <v/>
      </c>
      <c r="D32" s="238">
        <f>IFERROR(INDEX('A5 RESIDUAL'!$G$24:$G$48,MATCH(LARGE('A5 RESIDUAL'!$I$24:$I$48,3),'A5 RESIDUAL'!$I$24:$I$48,0)),"")</f>
        <v/>
      </c>
    </row>
    <row r="33" ht="25.5" customHeight="1" s="173">
      <c r="B33" s="181">
        <f>IFERROR("#"&amp;INDEX('A5 RESIDUAL'!$B$24:$B$48,MATCH(LARGE('A5 RESIDUAL'!$I$24:$I$48,4),'A5 RESIDUAL'!$I$24:$I$48,0))&amp;" · "&amp;INDEX('A5 RESIDUAL'!$C$24:$C$48,MATCH(LARGE('A5 RESIDUAL'!$I$24:$I$48,4),'A5 RESIDUAL'!$I$24:$I$48,0)),"")</f>
        <v/>
      </c>
      <c r="C33" s="237">
        <f>IFERROR(INDEX('A5 RESIDUAL'!$F$24:$F$48,MATCH(LARGE('A5 RESIDUAL'!$I$24:$I$48,4),'A5 RESIDUAL'!$I$24:$I$48,0)),"")</f>
        <v/>
      </c>
      <c r="D33" s="238">
        <f>IFERROR(INDEX('A5 RESIDUAL'!$G$24:$G$48,MATCH(LARGE('A5 RESIDUAL'!$I$24:$I$48,4),'A5 RESIDUAL'!$I$24:$I$48,0)),"")</f>
        <v/>
      </c>
    </row>
    <row r="34" ht="25.5" customHeight="1" s="173">
      <c r="B34" s="181">
        <f>IFERROR("#"&amp;INDEX('A5 RESIDUAL'!$B$24:$B$48,MATCH(LARGE('A5 RESIDUAL'!$I$24:$I$48,5),'A5 RESIDUAL'!$I$24:$I$48,0))&amp;" · "&amp;INDEX('A5 RESIDUAL'!$C$24:$C$48,MATCH(LARGE('A5 RESIDUAL'!$I$24:$I$48,5),'A5 RESIDUAL'!$I$24:$I$48,0)),"")</f>
        <v/>
      </c>
      <c r="C34" s="237">
        <f>IFERROR(INDEX('A5 RESIDUAL'!$F$24:$F$48,MATCH(LARGE('A5 RESIDUAL'!$I$24:$I$48,5),'A5 RESIDUAL'!$I$24:$I$48,0)),"")</f>
        <v/>
      </c>
      <c r="D34" s="238">
        <f>IFERROR(INDEX('A5 RESIDUAL'!$G$24:$G$48,MATCH(LARGE('A5 RESIDUAL'!$I$24:$I$48,5),'A5 RESIDUAL'!$I$24:$I$48,0)),"")</f>
        <v/>
      </c>
    </row>
    <row r="35" ht="15" customHeight="1" s="173">
      <c r="B35" s="202" t="inlineStr">
        <is>
          <t>Estos son los indicadores por los que empieza el plan de acción de la hoja A8: son los que más aportan al resultado y los primeros que la autoridad va a preguntar.</t>
        </is>
      </c>
    </row>
    <row r="37" ht="15" customHeight="1" s="173">
      <c r="B37" s="194" t="inlineStr">
        <is>
          <t>COBERTURA DEL CATÁLOGO DE CONTROLES MÍNIMOS (Art. 37 Bis)</t>
        </is>
      </c>
    </row>
    <row r="38" ht="15" customHeight="1" s="173">
      <c r="B38" s="196" t="inlineStr">
        <is>
          <t>Efectividad de los mitigantes (obligaciones cubiertas):</t>
        </is>
      </c>
      <c r="C38" s="295">
        <f>'A4 CONTROLES MINIMOS'!$F$28</f>
        <v/>
      </c>
    </row>
    <row r="39" ht="15" customHeight="1" s="173">
      <c r="B39" s="196" t="inlineStr">
        <is>
          <t>Reducción aplicada al riesgo inherente:</t>
        </is>
      </c>
      <c r="C39" s="295">
        <f>'A4 CONTROLES MINIMOS'!$F$30</f>
        <v/>
      </c>
    </row>
    <row r="40" ht="15" customHeight="1" s="173">
      <c r="B40" s="196" t="inlineStr">
        <is>
          <t>Obligaciones en «No cumple»:</t>
        </is>
      </c>
      <c r="C40" s="296">
        <f>'A4 CONTROLES MINIMOS'!$F$33</f>
        <v/>
      </c>
    </row>
    <row r="41" ht="15" customHeight="1" s="173">
      <c r="B41" s="196" t="inlineStr">
        <is>
          <t>Obligaciones sin calificar:</t>
        </is>
      </c>
      <c r="C41" s="296">
        <f>'A4 CONTROLES MINIMOS'!$F$36</f>
        <v/>
      </c>
    </row>
    <row r="42" ht="15" customHeight="1" s="173">
      <c r="B42" s="200">
        <f>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
      </c>
    </row>
  </sheetData>
  <mergeCells count="15">
    <mergeCell ref="B20:G20"/>
    <mergeCell ref="B28:G28"/>
    <mergeCell ref="B22:G22"/>
    <mergeCell ref="C4:F4"/>
    <mergeCell ref="B13:E13"/>
    <mergeCell ref="B8:D8"/>
    <mergeCell ref="C24:G24"/>
    <mergeCell ref="E8:G8"/>
    <mergeCell ref="C25:G25"/>
    <mergeCell ref="C6:F6"/>
    <mergeCell ref="B9:D10"/>
    <mergeCell ref="E9:G10"/>
    <mergeCell ref="C23:G23"/>
    <mergeCell ref="C5:F5"/>
    <mergeCell ref="C26:G26"/>
  </mergeCells>
  <conditionalFormatting sqref="B9">
    <cfRule type="expression" rank="0" priority="2" equalAverage="0" aboveAverage="0" dxfId="2" text="" percent="0" bottom="0">
      <formula>EXACT(B9,"BAJO")</formula>
    </cfRule>
    <cfRule type="expression" rank="0" priority="3" equalAverage="0" aboveAverage="0" dxfId="3" text="" percent="0" bottom="0">
      <formula>EXACT(B9,"MEDIO BAJO")</formula>
    </cfRule>
    <cfRule type="expression" rank="0" priority="4" equalAverage="0" aboveAverage="0" dxfId="4" text="" percent="0" bottom="0">
      <formula>EXACT(B9,"MEDIO")</formula>
    </cfRule>
    <cfRule type="expression" rank="0" priority="5" equalAverage="0" aboveAverage="0" dxfId="5" text="" percent="0" bottom="0">
      <formula>EXACT(B9,"MEDIO ALTO")</formula>
    </cfRule>
    <cfRule type="expression" rank="0" priority="6" equalAverage="0" aboveAverage="0" dxfId="6" text="" percent="0" bottom="0">
      <formula>EXACT(B9,"ALTO")</formula>
    </cfRule>
  </conditionalFormatting>
  <conditionalFormatting sqref="E9">
    <cfRule type="expression" rank="0" priority="7" equalAverage="0" aboveAverage="0" dxfId="2" text="" percent="0" bottom="0">
      <formula>EXACT(E9,"BAJO")</formula>
    </cfRule>
    <cfRule type="expression" rank="0" priority="8" equalAverage="0" aboveAverage="0" dxfId="3" text="" percent="0" bottom="0">
      <formula>EXACT(E9,"MEDIO BAJO")</formula>
    </cfRule>
    <cfRule type="expression" rank="0" priority="9" equalAverage="0" aboveAverage="0" dxfId="4" text="" percent="0" bottom="0">
      <formula>EXACT(E9,"MEDIO")</formula>
    </cfRule>
    <cfRule type="expression" rank="0" priority="10" equalAverage="0" aboveAverage="0" dxfId="5" text="" percent="0" bottom="0">
      <formula>EXACT(E9,"MEDIO ALTO")</formula>
    </cfRule>
    <cfRule type="expression" rank="0" priority="11" equalAverage="0" aboveAverage="0" dxfId="6" text="" percent="0" bottom="0">
      <formula>EXACT(E9,"ALTO")</formula>
    </cfRule>
  </conditionalFormatting>
  <conditionalFormatting sqref="C15:C18">
    <cfRule type="expression" rank="0" priority="12" equalAverage="0" aboveAverage="0" dxfId="2" text="" percent="0" bottom="0">
      <formula>EXACT(C15,"BAJO")</formula>
    </cfRule>
    <cfRule type="expression" rank="0" priority="13" equalAverage="0" aboveAverage="0" dxfId="3" text="" percent="0" bottom="0">
      <formula>EXACT(C15,"MEDIO BAJO")</formula>
    </cfRule>
    <cfRule type="expression" rank="0" priority="14" equalAverage="0" aboveAverage="0" dxfId="4" text="" percent="0" bottom="0">
      <formula>EXACT(C15,"MEDIO")</formula>
    </cfRule>
    <cfRule type="expression" rank="0" priority="15" equalAverage="0" aboveAverage="0" dxfId="5" text="" percent="0" bottom="0">
      <formula>EXACT(C15,"MEDIO ALTO")</formula>
    </cfRule>
    <cfRule type="expression" rank="0" priority="16" equalAverage="0" aboveAverage="0" dxfId="6" text="" percent="0" bottom="0">
      <formula>EXACT(C15,"ALTO")</formula>
    </cfRule>
  </conditionalFormatting>
  <conditionalFormatting sqref="D15:D18">
    <cfRule type="expression" rank="0" priority="17" equalAverage="0" aboveAverage="0" dxfId="2" text="" percent="0" bottom="0">
      <formula>EXACT(D15,"BAJO")</formula>
    </cfRule>
    <cfRule type="expression" rank="0" priority="18" equalAverage="0" aboveAverage="0" dxfId="3" text="" percent="0" bottom="0">
      <formula>EXACT(D15,"MEDIO BAJO")</formula>
    </cfRule>
    <cfRule type="expression" rank="0" priority="19" equalAverage="0" aboveAverage="0" dxfId="4" text="" percent="0" bottom="0">
      <formula>EXACT(D15,"MEDIO")</formula>
    </cfRule>
    <cfRule type="expression" rank="0" priority="20" equalAverage="0" aboveAverage="0" dxfId="5" text="" percent="0" bottom="0">
      <formula>EXACT(D15,"MEDIO ALTO")</formula>
    </cfRule>
    <cfRule type="expression" rank="0" priority="21" equalAverage="0" aboveAverage="0" dxfId="6" text="" percent="0" bottom="0">
      <formula>EXACT(D15,"ALTO")</formula>
    </cfRule>
  </conditionalFormatting>
  <conditionalFormatting sqref="D30:D34">
    <cfRule type="expression" rank="0" priority="22" equalAverage="0" aboveAverage="0" dxfId="2" text="" percent="0" bottom="0">
      <formula>EXACT(D30,"BAJO")</formula>
    </cfRule>
    <cfRule type="expression" rank="0" priority="23" equalAverage="0" aboveAverage="0" dxfId="3" text="" percent="0" bottom="0">
      <formula>EXACT(D30,"MEDIO BAJO")</formula>
    </cfRule>
    <cfRule type="expression" rank="0" priority="24" equalAverage="0" aboveAverage="0" dxfId="4" text="" percent="0" bottom="0">
      <formula>EXACT(D30,"MEDIO")</formula>
    </cfRule>
    <cfRule type="expression" rank="0" priority="25" equalAverage="0" aboveAverage="0" dxfId="5" text="" percent="0" bottom="0">
      <formula>EXACT(D30,"MEDIO ALTO")</formula>
    </cfRule>
    <cfRule type="expression" rank="0" priority="26" equalAverage="0" aboveAverage="0" dxfId="6" text="" percent="0" bottom="0">
      <formula>EXACT(D30,"ALTO")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FFC000"/>
    <outlinePr summaryBelow="1" summaryRight="1"/>
    <pageSetUpPr fitToPage="0"/>
  </sheetPr>
  <dimension ref="B2:L2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26" customWidth="1" style="172" min="3" max="3"/>
    <col width="14" customWidth="1" style="172" min="4" max="4"/>
    <col width="12" customWidth="1" style="172" min="5" max="9"/>
    <col width="14" customWidth="1" style="172" min="10" max="10"/>
    <col width="34" customWidth="1" style="172" min="11" max="11"/>
    <col width="22" customWidth="1" style="172" min="12" max="12"/>
  </cols>
  <sheetData>
    <row r="2" ht="21.75" customHeight="1" s="173">
      <c r="B2" s="201" t="inlineStr">
        <is>
          <t>A7 · EVALUACIÓN PREVIA DE NUEVOS PRODUCTOS, SERVICIOS Y CANALES</t>
        </is>
      </c>
    </row>
    <row r="3" ht="15" customHeight="1" s="173">
      <c r="B3" s="202" t="inlineStr">
        <is>
          <t>Art. 10 Septies, tercer párrafo: antes de lanzar un nuevo medio, canal, modalidad, producto, servicio o tipo de Cliente, evalúa el riesgo. Una ficha por lanzamiento. Esta hoja no altera el resultado de A1; es evidencia y decisión previa.</t>
        </is>
      </c>
    </row>
    <row r="4" ht="15" customHeight="1" s="173">
      <c r="B4" s="177" t="inlineStr">
        <is>
          <t>Fuera de secuencia: se llena ANTES de cada lanzamiento (Art. 10 Septies, 3er párrafo)</t>
        </is>
      </c>
    </row>
    <row r="6" ht="42" customHeight="1" s="173">
      <c r="B6" s="178" t="inlineStr">
        <is>
          <t>#</t>
        </is>
      </c>
      <c r="C6" s="178" t="inlineStr">
        <is>
          <t>Nuevo producto, servicio, canal o tipo de Cliente</t>
        </is>
      </c>
      <c r="D6" s="178" t="inlineStr">
        <is>
          <t>Fecha prevista de lanzamiento</t>
        </is>
      </c>
      <c r="E6" s="178" t="inlineStr">
        <is>
          <t>Riesgo elem. 1</t>
        </is>
      </c>
      <c r="F6" s="178" t="inlineStr">
        <is>
          <t>Riesgo elem. 2</t>
        </is>
      </c>
      <c r="G6" s="178" t="inlineStr">
        <is>
          <t>Riesgo elem. 3</t>
        </is>
      </c>
      <c r="H6" s="178" t="inlineStr">
        <is>
          <t>Riesgo elem. 4</t>
        </is>
      </c>
      <c r="I6" s="178" t="inlineStr">
        <is>
          <t>Riesgo previo</t>
        </is>
      </c>
      <c r="J6" s="178" t="inlineStr">
        <is>
          <t>Nivel</t>
        </is>
      </c>
      <c r="K6" s="178" t="inlineStr">
        <is>
          <t>Controles previos comprometidos</t>
        </is>
      </c>
      <c r="L6" s="178" t="inlineStr">
        <is>
          <t>Decisión</t>
        </is>
      </c>
    </row>
    <row r="7" ht="31.5" customHeight="1" s="173">
      <c r="B7" s="211" t="n">
        <v>1</v>
      </c>
      <c r="C7" s="351" t="n"/>
      <c r="D7" s="298" t="n"/>
      <c r="E7" s="299" t="n"/>
      <c r="F7" s="299" t="n"/>
      <c r="G7" s="299" t="n"/>
      <c r="H7" s="299" t="n"/>
      <c r="I7" s="211">
        <f>IFERROR(ROUND((IF(E7="Alto",5,IF(E7="Medio",3,IF(E7="Bajo",1,"")))+IF(F7="Alto",5,IF(F7="Medio",3,IF(F7="Bajo",1,"")))+IF(G7="Alto",5,IF(G7="Medio",3,IF(G7="Bajo",1,"")))+IF(H7="Alto",5,IF(H7="Medio",3,IF(H7="Bajo",1,""))))/4,2),"")</f>
        <v/>
      </c>
      <c r="J7" s="211">
        <f>IF(I7="","",IF(I7&gt;=4,"ALTO",IF(I7&gt;=2.34,"MEDIO","BAJO")))</f>
        <v/>
      </c>
      <c r="K7" s="351" t="n"/>
      <c r="L7" s="300" t="n"/>
    </row>
    <row r="8" ht="31.5" customHeight="1" s="173">
      <c r="B8" s="211" t="n">
        <v>2</v>
      </c>
      <c r="C8" s="351" t="n"/>
      <c r="D8" s="352" t="n"/>
      <c r="E8" s="299" t="n"/>
      <c r="F8" s="299" t="n"/>
      <c r="G8" s="299" t="n"/>
      <c r="H8" s="299" t="n"/>
      <c r="I8" s="211">
        <f>IFERROR(ROUND((IF(E8="Alto",5,IF(E8="Medio",3,IF(E8="Bajo",1,"")))+IF(F8="Alto",5,IF(F8="Medio",3,IF(F8="Bajo",1,"")))+IF(G8="Alto",5,IF(G8="Medio",3,IF(G8="Bajo",1,"")))+IF(H8="Alto",5,IF(H8="Medio",3,IF(H8="Bajo",1,""))))/4,2),"")</f>
        <v/>
      </c>
      <c r="J8" s="211">
        <f>IF(I8="","",IF(I8&gt;=4,"ALTO",IF(I8&gt;=2.34,"MEDIO","BAJO")))</f>
        <v/>
      </c>
      <c r="K8" s="351" t="n"/>
      <c r="L8" s="300" t="n"/>
    </row>
    <row r="9" ht="31.5" customHeight="1" s="173">
      <c r="B9" s="211" t="n">
        <v>3</v>
      </c>
      <c r="C9" s="351" t="n"/>
      <c r="D9" s="352" t="n"/>
      <c r="E9" s="299" t="n"/>
      <c r="F9" s="299" t="n"/>
      <c r="G9" s="299" t="n"/>
      <c r="H9" s="299" t="n"/>
      <c r="I9" s="211">
        <f>IFERROR(ROUND((IF(E9="Alto",5,IF(E9="Medio",3,IF(E9="Bajo",1,"")))+IF(F9="Alto",5,IF(F9="Medio",3,IF(F9="Bajo",1,"")))+IF(G9="Alto",5,IF(G9="Medio",3,IF(G9="Bajo",1,"")))+IF(H9="Alto",5,IF(H9="Medio",3,IF(H9="Bajo",1,""))))/4,2),"")</f>
        <v/>
      </c>
      <c r="J9" s="211">
        <f>IF(I9="","",IF(I9&gt;=4,"ALTO",IF(I9&gt;=2.34,"MEDIO","BAJO")))</f>
        <v/>
      </c>
      <c r="K9" s="351" t="n"/>
      <c r="L9" s="300" t="n"/>
    </row>
    <row r="10" ht="31.5" customHeight="1" s="173">
      <c r="B10" s="211" t="n">
        <v>4</v>
      </c>
      <c r="C10" s="297" t="n"/>
      <c r="D10" s="299" t="n"/>
      <c r="E10" s="299" t="n"/>
      <c r="F10" s="299" t="n"/>
      <c r="G10" s="299" t="n"/>
      <c r="H10" s="299" t="n"/>
      <c r="I10" s="211">
        <f>IFERROR(ROUND((IF(E10="Alto",5,IF(E10="Medio",3,IF(E10="Bajo",1,"")))+IF(F10="Alto",5,IF(F10="Medio",3,IF(F10="Bajo",1,"")))+IF(G10="Alto",5,IF(G10="Medio",3,IF(G10="Bajo",1,"")))+IF(H10="Alto",5,IF(H10="Medio",3,IF(H10="Bajo",1,""))))/4,2),"")</f>
        <v/>
      </c>
      <c r="J10" s="211">
        <f>IF(I10="","",IF(I10&gt;=4,"ALTO",IF(I10&gt;=2.34,"MEDIO","BAJO")))</f>
        <v/>
      </c>
      <c r="K10" s="297" t="n"/>
      <c r="L10" s="300" t="n"/>
    </row>
    <row r="11" ht="31.5" customHeight="1" s="173">
      <c r="B11" s="211" t="n">
        <v>5</v>
      </c>
      <c r="C11" s="297" t="n"/>
      <c r="D11" s="299" t="n"/>
      <c r="E11" s="299" t="n"/>
      <c r="F11" s="299" t="n"/>
      <c r="G11" s="299" t="n"/>
      <c r="H11" s="299" t="n"/>
      <c r="I11" s="211">
        <f>IFERROR(ROUND((IF(E11="Alto",5,IF(E11="Medio",3,IF(E11="Bajo",1,"")))+IF(F11="Alto",5,IF(F11="Medio",3,IF(F11="Bajo",1,"")))+IF(G11="Alto",5,IF(G11="Medio",3,IF(G11="Bajo",1,"")))+IF(H11="Alto",5,IF(H11="Medio",3,IF(H11="Bajo",1,""))))/4,2),"")</f>
        <v/>
      </c>
      <c r="J11" s="211">
        <f>IF(I11="","",IF(I11&gt;=4,"ALTO",IF(I11&gt;=2.34,"MEDIO","BAJO")))</f>
        <v/>
      </c>
      <c r="K11" s="297" t="n"/>
      <c r="L11" s="300" t="n"/>
    </row>
    <row r="12" ht="31.5" customHeight="1" s="173">
      <c r="B12" s="211" t="n">
        <v>6</v>
      </c>
      <c r="C12" s="297" t="n"/>
      <c r="D12" s="299" t="n"/>
      <c r="E12" s="299" t="n"/>
      <c r="F12" s="299" t="n"/>
      <c r="G12" s="299" t="n"/>
      <c r="H12" s="299" t="n"/>
      <c r="I12" s="211">
        <f>IFERROR(ROUND((IF(E12="Alto",5,IF(E12="Medio",3,IF(E12="Bajo",1,"")))+IF(F12="Alto",5,IF(F12="Medio",3,IF(F12="Bajo",1,"")))+IF(G12="Alto",5,IF(G12="Medio",3,IF(G12="Bajo",1,"")))+IF(H12="Alto",5,IF(H12="Medio",3,IF(H12="Bajo",1,""))))/4,2),"")</f>
        <v/>
      </c>
      <c r="J12" s="211">
        <f>IF(I12="","",IF(I12&gt;=4,"ALTO",IF(I12&gt;=2.34,"MEDIO","BAJO")))</f>
        <v/>
      </c>
      <c r="K12" s="297" t="n"/>
      <c r="L12" s="300" t="n"/>
    </row>
    <row r="13" ht="31.5" customHeight="1" s="173">
      <c r="B13" s="211" t="n">
        <v>7</v>
      </c>
      <c r="C13" s="297" t="n"/>
      <c r="D13" s="299" t="n"/>
      <c r="E13" s="299" t="n"/>
      <c r="F13" s="299" t="n"/>
      <c r="G13" s="299" t="n"/>
      <c r="H13" s="299" t="n"/>
      <c r="I13" s="211">
        <f>IFERROR(ROUND((IF(E13="Alto",5,IF(E13="Medio",3,IF(E13="Bajo",1,"")))+IF(F13="Alto",5,IF(F13="Medio",3,IF(F13="Bajo",1,"")))+IF(G13="Alto",5,IF(G13="Medio",3,IF(G13="Bajo",1,"")))+IF(H13="Alto",5,IF(H13="Medio",3,IF(H13="Bajo",1,""))))/4,2),"")</f>
        <v/>
      </c>
      <c r="J13" s="211">
        <f>IF(I13="","",IF(I13&gt;=4,"ALTO",IF(I13&gt;=2.34,"MEDIO","BAJO")))</f>
        <v/>
      </c>
      <c r="K13" s="297" t="n"/>
      <c r="L13" s="300" t="n"/>
    </row>
    <row r="14" ht="31.5" customHeight="1" s="173">
      <c r="B14" s="211" t="n">
        <v>8</v>
      </c>
      <c r="C14" s="297" t="n"/>
      <c r="D14" s="299" t="n"/>
      <c r="E14" s="299" t="n"/>
      <c r="F14" s="299" t="n"/>
      <c r="G14" s="299" t="n"/>
      <c r="H14" s="299" t="n"/>
      <c r="I14" s="211">
        <f>IFERROR(ROUND((IF(E14="Alto",5,IF(E14="Medio",3,IF(E14="Bajo",1,"")))+IF(F14="Alto",5,IF(F14="Medio",3,IF(F14="Bajo",1,"")))+IF(G14="Alto",5,IF(G14="Medio",3,IF(G14="Bajo",1,"")))+IF(H14="Alto",5,IF(H14="Medio",3,IF(H14="Bajo",1,""))))/4,2),"")</f>
        <v/>
      </c>
      <c r="J14" s="211">
        <f>IF(I14="","",IF(I14&gt;=4,"ALTO",IF(I14&gt;=2.34,"MEDIO","BAJO")))</f>
        <v/>
      </c>
      <c r="K14" s="297" t="n"/>
      <c r="L14" s="300" t="n"/>
    </row>
    <row r="15" ht="31.5" customHeight="1" s="173">
      <c r="B15" s="211" t="n">
        <v>9</v>
      </c>
      <c r="C15" s="297" t="n"/>
      <c r="D15" s="299" t="n"/>
      <c r="E15" s="299" t="n"/>
      <c r="F15" s="299" t="n"/>
      <c r="G15" s="299" t="n"/>
      <c r="H15" s="299" t="n"/>
      <c r="I15" s="211">
        <f>IFERROR(ROUND((IF(E15="Alto",5,IF(E15="Medio",3,IF(E15="Bajo",1,"")))+IF(F15="Alto",5,IF(F15="Medio",3,IF(F15="Bajo",1,"")))+IF(G15="Alto",5,IF(G15="Medio",3,IF(G15="Bajo",1,"")))+IF(H15="Alto",5,IF(H15="Medio",3,IF(H15="Bajo",1,""))))/4,2),"")</f>
        <v/>
      </c>
      <c r="J15" s="211">
        <f>IF(I15="","",IF(I15&gt;=4,"ALTO",IF(I15&gt;=2.34,"MEDIO","BAJO")))</f>
        <v/>
      </c>
      <c r="K15" s="297" t="n"/>
      <c r="L15" s="300" t="n"/>
    </row>
    <row r="16" ht="31.5" customHeight="1" s="173">
      <c r="B16" s="211" t="n">
        <v>10</v>
      </c>
      <c r="C16" s="297" t="n"/>
      <c r="D16" s="299" t="n"/>
      <c r="E16" s="299" t="n"/>
      <c r="F16" s="299" t="n"/>
      <c r="G16" s="299" t="n"/>
      <c r="H16" s="299" t="n"/>
      <c r="I16" s="211">
        <f>IFERROR(ROUND((IF(E16="Alto",5,IF(E16="Medio",3,IF(E16="Bajo",1,"")))+IF(F16="Alto",5,IF(F16="Medio",3,IF(F16="Bajo",1,"")))+IF(G16="Alto",5,IF(G16="Medio",3,IF(G16="Bajo",1,"")))+IF(H16="Alto",5,IF(H16="Medio",3,IF(H16="Bajo",1,""))))/4,2),"")</f>
        <v/>
      </c>
      <c r="J16" s="211">
        <f>IF(I16="","",IF(I16&gt;=4,"ALTO",IF(I16&gt;=2.34,"MEDIO","BAJO")))</f>
        <v/>
      </c>
      <c r="K16" s="297" t="n"/>
      <c r="L16" s="300" t="n"/>
    </row>
    <row r="17" ht="31.5" customHeight="1" s="173">
      <c r="B17" s="211" t="n">
        <v>11</v>
      </c>
      <c r="C17" s="297" t="n"/>
      <c r="D17" s="299" t="n"/>
      <c r="E17" s="299" t="n"/>
      <c r="F17" s="299" t="n"/>
      <c r="G17" s="299" t="n"/>
      <c r="H17" s="299" t="n"/>
      <c r="I17" s="211">
        <f>IFERROR(ROUND((IF(E17="Alto",5,IF(E17="Medio",3,IF(E17="Bajo",1,"")))+IF(F17="Alto",5,IF(F17="Medio",3,IF(F17="Bajo",1,"")))+IF(G17="Alto",5,IF(G17="Medio",3,IF(G17="Bajo",1,"")))+IF(H17="Alto",5,IF(H17="Medio",3,IF(H17="Bajo",1,""))))/4,2),"")</f>
        <v/>
      </c>
      <c r="J17" s="211">
        <f>IF(I17="","",IF(I17&gt;=4,"ALTO",IF(I17&gt;=2.34,"MEDIO","BAJO")))</f>
        <v/>
      </c>
      <c r="K17" s="297" t="n"/>
      <c r="L17" s="300" t="n"/>
    </row>
    <row r="18" ht="31.5" customHeight="1" s="173">
      <c r="B18" s="211" t="n">
        <v>12</v>
      </c>
      <c r="C18" s="297" t="n"/>
      <c r="D18" s="299" t="n"/>
      <c r="E18" s="299" t="n"/>
      <c r="F18" s="299" t="n"/>
      <c r="G18" s="299" t="n"/>
      <c r="H18" s="299" t="n"/>
      <c r="I18" s="211">
        <f>IFERROR(ROUND((IF(E18="Alto",5,IF(E18="Medio",3,IF(E18="Bajo",1,"")))+IF(F18="Alto",5,IF(F18="Medio",3,IF(F18="Bajo",1,"")))+IF(G18="Alto",5,IF(G18="Medio",3,IF(G18="Bajo",1,"")))+IF(H18="Alto",5,IF(H18="Medio",3,IF(H18="Bajo",1,""))))/4,2),"")</f>
        <v/>
      </c>
      <c r="J18" s="211">
        <f>IF(I18="","",IF(I18&gt;=4,"ALTO",IF(I18&gt;=2.34,"MEDIO","BAJO")))</f>
        <v/>
      </c>
      <c r="K18" s="297" t="n"/>
      <c r="L18" s="300" t="n"/>
    </row>
    <row r="21" ht="15" customHeight="1" s="173">
      <c r="B21" s="228" t="inlineStr">
        <is>
          <t>La ficha debe llenarse ANTES del lanzamiento y conservarse 10 años. Si la decisión es «Se lanza» o «Se lanza con controles adicionales», el producto o canal debe incorporarse a la siguiente actualización de A1 y a la matriz de controles A4.</t>
        </is>
      </c>
    </row>
  </sheetData>
  <dataValidations count="2">
    <dataValidation sqref="E7:H18" showDropDown="0" showInputMessage="0" showErrorMessage="0" allowBlank="1" type="list" errorStyle="stop" operator="between">
      <formula1>"Alto,Medio,Bajo"</formula1>
      <formula2>0</formula2>
    </dataValidation>
    <dataValidation sqref="L7:L18" showDropDown="0" showInputMessage="0" showErrorMessage="0" allowBlank="1" type="list" errorStyle="stop" operator="between">
      <formula1>"Se lanza,Se lanza con controles adicionales,Se pospone,No se lanza"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FC000"/>
    <outlinePr summaryBelow="1" summaryRight="1"/>
    <pageSetUpPr fitToPage="0"/>
  </sheetPr>
  <dimension ref="B2:I33"/>
  <sheetViews>
    <sheetView showFormulas="0" showGridLines="0" showRowColHeaders="1" showZeros="1" rightToLeft="0" tabSelected="0" showOutlineSymbols="1" defaultGridColor="1"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baseColWidth="8" defaultColWidth="8.6796875" defaultRowHeight="15" zeroHeight="0" outlineLevelRow="0"/>
  <cols>
    <col width="2" customWidth="1" style="172" min="1" max="1"/>
    <col width="50" customWidth="1" style="172" min="2" max="2"/>
    <col width="4" customWidth="1" style="172" min="3" max="3"/>
    <col width="26" customWidth="1" style="172" min="4" max="6"/>
    <col width="22" customWidth="1" style="172" min="7" max="7"/>
    <col width="16" customWidth="1" style="172" min="8" max="9"/>
    <col width="30" customWidth="1" style="172" min="10" max="10"/>
  </cols>
  <sheetData>
    <row r="2" ht="21.75" customHeight="1" s="173">
      <c r="B2" s="201" t="inlineStr">
        <is>
          <t>A8 · TOLERANCIA AL RIESGO, VIGENCIA Y PLAN DE ACCIÓN</t>
        </is>
      </c>
    </row>
    <row r="3" ht="15" customHeight="1" s="173">
      <c r="B3" s="202" t="inlineStr">
        <is>
          <t>Art. 10 Septies 2 y 10 Septies 3: periodo evaluado de al menos 12 meses, tolerancia declarada, modificación en un plazo no mayor a 12 meses indicando al menos el año y el mes, y revisión anual por escrito.</t>
        </is>
      </c>
    </row>
    <row r="4" ht="15" customHeight="1" s="173">
      <c r="B4" s="177" t="inlineStr">
        <is>
          <t>Paso 9 de 10  ·  Viene de: A6  ·  Sigue: A9 CONSTANCIA Y FUENTES</t>
        </is>
      </c>
    </row>
    <row r="5" ht="15" customHeight="1" s="173">
      <c r="B5" s="216" t="inlineStr">
        <is>
          <t>DECLARACIÓN DE TOLERANCIA Y PERIODO EVALUADO</t>
        </is>
      </c>
    </row>
    <row r="6" ht="15" customHeight="1" s="173">
      <c r="B6" s="230" t="inlineStr">
        <is>
          <t>Nivel de tolerancia declarado (PARÁMETROS C25):</t>
        </is>
      </c>
      <c r="D6" s="238">
        <f>PARAMETROS!C25</f>
        <v/>
      </c>
    </row>
    <row r="7" ht="15" customHeight="1" s="173">
      <c r="B7" s="230" t="inlineStr">
        <is>
          <t>Periodo evaluado — inicio (INICIO C28):</t>
        </is>
      </c>
      <c r="D7" s="301">
        <f>IF(INICIO!$C$28="","",INICIO!$C$28)</f>
        <v/>
      </c>
    </row>
    <row r="8" ht="15" customHeight="1" s="173">
      <c r="B8" s="230" t="inlineStr">
        <is>
          <t>Periodo evaluado — fin (INICIO C29):</t>
        </is>
      </c>
      <c r="D8" s="301">
        <f>IF(INICIO!$C$29="","",INICIO!$C$29)</f>
        <v/>
      </c>
    </row>
    <row r="9" ht="15" customHeight="1" s="173">
      <c r="B9" s="230" t="inlineStr">
        <is>
          <t>Meses del periodo (ambos extremos incluidos):</t>
        </is>
      </c>
      <c r="D9" s="238">
        <f>IFERROR(DATEDIF($D$7,$D$8+1,"m"),"")</f>
        <v/>
      </c>
    </row>
    <row r="10" ht="15" customHeight="1" s="173">
      <c r="B10" s="230" t="inlineStr">
        <is>
          <t>¿Cumple el mínimo de 12 meses (Art. 10 Septies 2)?</t>
        </is>
      </c>
      <c r="D10" s="238">
        <f>IF($D$9="","",IF($D$9&gt;=12,"Sí","No: el periodo evaluado es menor a 12 meses"))</f>
        <v/>
      </c>
    </row>
    <row r="11" ht="15" customHeight="1" s="173">
      <c r="B11" s="230" t="inlineStr">
        <is>
          <t>Fecha de la evaluación (INICIO C27):</t>
        </is>
      </c>
      <c r="D11" s="301">
        <f>IF(INICIO!$C$27="","",INICIO!$C$27)</f>
        <v/>
      </c>
    </row>
    <row r="12" ht="15" customHeight="1" s="173">
      <c r="B12" s="230" t="inlineStr">
        <is>
          <t>Fecha límite de la próxima revisión:</t>
        </is>
      </c>
      <c r="D12" s="238">
        <f>IF(INICIO!$C$27="","",CHOOSE(MONTH(EDATE(INICIO!$C$27,12)),"enero","febrero","marzo","abril","mayo","junio","julio","agosto","septiembre","octubre","noviembre","diciembre")&amp;" de "&amp;YEAR(EDATE(INICIO!$C$27,12)))</f>
        <v/>
      </c>
    </row>
    <row r="14" ht="15" customHeight="1" s="173">
      <c r="B14" s="216" t="inlineStr">
        <is>
          <t>VEREDICTO: ¿EL RESULTADO ESTÁ DENTRO DE LA TOLERANCIA?</t>
        </is>
      </c>
    </row>
    <row r="15" ht="15" customHeight="1" s="173">
      <c r="B15" s="229" t="inlineStr">
        <is>
          <t>Riesgo residual de la entidad:</t>
        </is>
      </c>
      <c r="D15" s="238">
        <f>'A5 RESIDUAL'!$G$13</f>
        <v/>
      </c>
    </row>
    <row r="16" ht="15" customHeight="1" s="173">
      <c r="B16" s="229" t="inlineStr">
        <is>
          <t>Tolerancia declarada:</t>
        </is>
      </c>
      <c r="D16" s="238">
        <f>PARAMETROS!$C$25</f>
        <v/>
      </c>
    </row>
    <row r="17" ht="15" customHeight="1" s="173">
      <c r="B17" s="229" t="inlineStr">
        <is>
          <t>Veredicto:</t>
        </is>
      </c>
      <c r="D17" s="238">
        <f>IF('A5 RESIDUAL'!$G$13="","",IFERROR(IF(MATCH('A5 RESIDUAL'!$G$13,PARAMETROS!$E$15:$E$19,0)&gt;MATCH(PARAMETROS!$C$25,PARAMETROS!$E$15:$E$19,0),"FUERA DE TOLERANCIA","DENTRO DE TOLERANCIA"),"Falta declarar la tolerancia en PARÁMETROS C25"))</f>
        <v/>
      </c>
    </row>
    <row r="18" ht="45.75" customHeight="1" s="173">
      <c r="B18" s="229" t="inlineStr">
        <is>
          <t>Consecuencia:</t>
        </is>
      </c>
      <c r="D18" s="302">
        <f>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
      </c>
      <c r="E18" s="179" t="n"/>
      <c r="F18" s="179" t="n"/>
      <c r="G18" s="179" t="n"/>
    </row>
    <row r="20" ht="15" customHeight="1" s="173">
      <c r="B20" s="216" t="inlineStr">
        <is>
          <t>PLAN DE ACCIÓN (obligatorio si el resultado queda fuera de tolerancia)</t>
        </is>
      </c>
    </row>
    <row r="21" ht="31.5" customHeight="1" s="173">
      <c r="B21" s="178" t="inlineStr">
        <is>
          <t>#</t>
        </is>
      </c>
      <c r="C21" s="178" t="inlineStr">
        <is>
          <t>Hallazgo / riesgo fuera de tolerancia</t>
        </is>
      </c>
      <c r="D21" s="180" t="n"/>
      <c r="E21" s="178" t="inlineStr">
        <is>
          <t>Acción comprometida</t>
        </is>
      </c>
      <c r="F21" s="178" t="inlineStr">
        <is>
          <t>Responsable</t>
        </is>
      </c>
      <c r="G21" s="178" t="inlineStr">
        <is>
          <t>Año y mes comprometidos</t>
        </is>
      </c>
      <c r="H21" s="178" t="inlineStr">
        <is>
          <t>Estatus</t>
        </is>
      </c>
      <c r="I21" s="178" t="inlineStr">
        <is>
          <t>Evidencia</t>
        </is>
      </c>
    </row>
    <row r="22" ht="30" customHeight="1" s="173">
      <c r="B22" s="211" t="n">
        <v>1</v>
      </c>
      <c r="C22" s="351" t="n"/>
      <c r="D22" s="180" t="n"/>
      <c r="E22" s="351" t="n"/>
      <c r="F22" s="300" t="n"/>
      <c r="G22" s="299" t="n"/>
      <c r="H22" s="299" t="n"/>
      <c r="I22" s="351" t="n"/>
    </row>
    <row r="23" ht="30" customHeight="1" s="173">
      <c r="B23" s="211" t="n">
        <v>2</v>
      </c>
      <c r="C23" s="351" t="n"/>
      <c r="D23" s="180" t="n"/>
      <c r="E23" s="351" t="n"/>
      <c r="F23" s="300" t="n"/>
      <c r="G23" s="299" t="n"/>
      <c r="H23" s="299" t="n"/>
      <c r="I23" s="351" t="n"/>
    </row>
    <row r="24" ht="30" customHeight="1" s="173">
      <c r="B24" s="211" t="n">
        <v>3</v>
      </c>
      <c r="C24" s="351" t="n"/>
      <c r="D24" s="180" t="n"/>
      <c r="E24" s="351" t="n"/>
      <c r="F24" s="300" t="n"/>
      <c r="G24" s="299" t="n"/>
      <c r="H24" s="299" t="n"/>
      <c r="I24" s="351" t="n"/>
    </row>
    <row r="25" ht="30" customHeight="1" s="173">
      <c r="B25" s="211" t="n">
        <v>4</v>
      </c>
      <c r="C25" s="351" t="n"/>
      <c r="D25" s="180" t="n"/>
      <c r="E25" s="351" t="n"/>
      <c r="F25" s="300" t="n"/>
      <c r="G25" s="299" t="n"/>
      <c r="H25" s="299" t="n"/>
      <c r="I25" s="351" t="n"/>
    </row>
    <row r="26" ht="30" customHeight="1" s="173">
      <c r="B26" s="211" t="n">
        <v>5</v>
      </c>
      <c r="C26" s="351" t="n"/>
      <c r="D26" s="180" t="n"/>
      <c r="E26" s="351" t="n"/>
      <c r="F26" s="300" t="n"/>
      <c r="G26" s="299" t="n"/>
      <c r="H26" s="299" t="n"/>
      <c r="I26" s="351" t="n"/>
    </row>
    <row r="27" ht="30" customHeight="1" s="173">
      <c r="B27" s="211" t="n">
        <v>6</v>
      </c>
      <c r="C27" s="297" t="n"/>
      <c r="D27" s="180" t="n"/>
      <c r="E27" s="297" t="n"/>
      <c r="F27" s="300" t="n"/>
      <c r="G27" s="299" t="n"/>
      <c r="H27" s="299" t="n"/>
      <c r="I27" s="297" t="n"/>
    </row>
    <row r="28" ht="30" customHeight="1" s="173">
      <c r="B28" s="211" t="n">
        <v>7</v>
      </c>
      <c r="C28" s="297" t="n"/>
      <c r="D28" s="180" t="n"/>
      <c r="E28" s="297" t="n"/>
      <c r="F28" s="300" t="n"/>
      <c r="G28" s="299" t="n"/>
      <c r="H28" s="299" t="n"/>
      <c r="I28" s="297" t="n"/>
    </row>
    <row r="29" ht="30" customHeight="1" s="173">
      <c r="B29" s="211" t="n">
        <v>8</v>
      </c>
      <c r="C29" s="297" t="n"/>
      <c r="D29" s="180" t="n"/>
      <c r="E29" s="297" t="n"/>
      <c r="F29" s="300" t="n"/>
      <c r="G29" s="299" t="n"/>
      <c r="H29" s="299" t="n"/>
      <c r="I29" s="297" t="n"/>
    </row>
    <row r="30" ht="30" customHeight="1" s="173">
      <c r="B30" s="211" t="n">
        <v>9</v>
      </c>
      <c r="C30" s="297" t="n"/>
      <c r="D30" s="180" t="n"/>
      <c r="E30" s="297" t="n"/>
      <c r="F30" s="300" t="n"/>
      <c r="G30" s="299" t="n"/>
      <c r="H30" s="299" t="n"/>
      <c r="I30" s="297" t="n"/>
    </row>
    <row r="31" ht="30" customHeight="1" s="173">
      <c r="B31" s="211" t="n">
        <v>10</v>
      </c>
      <c r="C31" s="297" t="n"/>
      <c r="D31" s="180" t="n"/>
      <c r="E31" s="297" t="n"/>
      <c r="F31" s="300" t="n"/>
      <c r="G31" s="299" t="n"/>
      <c r="H31" s="299" t="n"/>
      <c r="I31" s="297" t="n"/>
    </row>
    <row r="33" ht="15" customHeight="1" s="173">
      <c r="B33" s="228" t="inlineStr">
        <is>
          <t>El compromiso debe indicar al menos el año y el mes (Art. 10 Septies 2, fr. IV). Un plan sin fecha no acredita mitigación: acredita intención.</t>
        </is>
      </c>
    </row>
  </sheetData>
  <mergeCells count="15">
    <mergeCell ref="D18:G18"/>
    <mergeCell ref="C29:D29"/>
    <mergeCell ref="C24:D24"/>
    <mergeCell ref="C21:D21"/>
    <mergeCell ref="B5:G5"/>
    <mergeCell ref="B14:G14"/>
    <mergeCell ref="C30:D30"/>
    <mergeCell ref="C25:D25"/>
    <mergeCell ref="B20:I20"/>
    <mergeCell ref="C27:D27"/>
    <mergeCell ref="C28:D28"/>
    <mergeCell ref="C22:D22"/>
    <mergeCell ref="C31:D31"/>
    <mergeCell ref="C26:D26"/>
    <mergeCell ref="C23:D23"/>
  </mergeCells>
  <conditionalFormatting sqref="D15">
    <cfRule type="expression" rank="0" priority="2" equalAverage="0" aboveAverage="0" dxfId="2" text="" percent="0" bottom="0">
      <formula>EXACT(D15,"BAJO")</formula>
    </cfRule>
    <cfRule type="expression" rank="0" priority="3" equalAverage="0" aboveAverage="0" dxfId="3" text="" percent="0" bottom="0">
      <formula>EXACT(D15,"MEDIO BAJO")</formula>
    </cfRule>
    <cfRule type="expression" rank="0" priority="4" equalAverage="0" aboveAverage="0" dxfId="4" text="" percent="0" bottom="0">
      <formula>EXACT(D15,"MEDIO")</formula>
    </cfRule>
    <cfRule type="expression" rank="0" priority="5" equalAverage="0" aboveAverage="0" dxfId="5" text="" percent="0" bottom="0">
      <formula>EXACT(D15,"MEDIO ALTO")</formula>
    </cfRule>
    <cfRule type="expression" rank="0" priority="6" equalAverage="0" aboveAverage="0" dxfId="6" text="" percent="0" bottom="0">
      <formula>EXACT(D15,"ALTO")</formula>
    </cfRule>
  </conditionalFormatting>
  <conditionalFormatting sqref="D17">
    <cfRule type="expression" rank="0" priority="7" equalAverage="0" aboveAverage="0" dxfId="6" text="" percent="0" bottom="0">
      <formula>EXACT($D$17,"FUERA DE TOLERANCIA")</formula>
    </cfRule>
    <cfRule type="expression" rank="0" priority="8" equalAverage="0" aboveAverage="0" dxfId="1" text="" percent="0" bottom="0">
      <formula>EXACT($D$17,"DENTRO DE TOLERANCIA")</formula>
    </cfRule>
  </conditionalFormatting>
  <dataValidations count="1">
    <dataValidation sqref="H22:H31" showDropDown="0" showInputMessage="0" showErrorMessage="0" allowBlank="1" type="list" errorStyle="stop" operator="between">
      <formula1>"No iniciada,En proceso,Concluida,Cancelada con justificación"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FFC000"/>
    <outlinePr summaryBelow="1" summaryRight="1"/>
    <pageSetUpPr fitToPage="0"/>
  </sheetPr>
  <dimension ref="B2:G57"/>
  <sheetViews>
    <sheetView showFormulas="0" showGridLines="0" showRowColHeaders="1" showZeros="1" rightToLeft="0" tabSelected="0" showOutlineSymbols="1" defaultGridColor="1"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baseColWidth="8" defaultColWidth="8.6796875" defaultRowHeight="15" zeroHeight="0" outlineLevelRow="0"/>
  <cols>
    <col width="2" customWidth="1" style="172" min="1" max="1"/>
    <col width="52" customWidth="1" style="172" min="2" max="2"/>
    <col width="3" customWidth="1" style="172" min="3" max="3"/>
    <col width="24" customWidth="1" style="172" min="4" max="5"/>
    <col width="26" customWidth="1" style="172" min="6" max="7"/>
    <col width="4" customWidth="1" style="172" min="8" max="8"/>
  </cols>
  <sheetData>
    <row r="2" ht="21.75" customHeight="1" s="173">
      <c r="B2" s="201" t="inlineStr">
        <is>
          <t>A9 · CONSTANCIA DE LA EVALUACIÓN, FUENTES Y CONSERVACIÓN</t>
        </is>
      </c>
    </row>
    <row r="3" ht="15" customHeight="1" s="173">
      <c r="B3" s="202" t="inlineStr">
        <is>
          <t>Aquí se documenta lo que la matriz no calcula pero la autoridad sí exige: la ENR tomada en cuenta, la conciliación con tus mecanismos automatizados, los datos proyectados, la aprobación y las versiones.</t>
        </is>
      </c>
    </row>
    <row r="4" ht="15" customHeight="1" s="173">
      <c r="B4" s="177" t="inlineStr">
        <is>
          <t>Pasos 2 y 10  ·  Secciones 1 y 2 se llenan ANTES de A1  ·  Secciones 3 a 7 al cierre</t>
        </is>
      </c>
    </row>
    <row r="5" ht="21" customHeight="1" s="173">
      <c r="B5" s="216" t="inlineStr">
        <is>
          <t>ESTADO DE LLENADO DE LA CONSTANCIA</t>
        </is>
      </c>
    </row>
    <row r="6" ht="15" customHeight="1" s="173">
      <c r="B6" s="271" t="inlineStr">
        <is>
          <t>Datos obligatorios que faltan:</t>
        </is>
      </c>
      <c r="D6" s="303">
        <f>COUNTBLANK(D10:D14)+COUNTBLANK(E19:E21)+COUNTBLANK(D22:D23)+COUNTBLANK(D28)+COUNTBLANK(D34:D39)+COUNTBLANK(F46)+COUNTBLANK(D54:D56)</f>
        <v/>
      </c>
    </row>
    <row r="7" ht="30" customHeight="1" s="173">
      <c r="D7" s="227">
        <f>IF($D$6=0,"Completa: la constancia puede imprimirse, firmarse y conservarse como evidencia de la evaluación.","Faltan "&amp;$D$6&amp;" dato(s) obligatorio(s): la evaluación todavía no está documentada por completo.")</f>
        <v/>
      </c>
      <c r="E7" s="179" t="n"/>
      <c r="F7" s="179" t="n"/>
      <c r="G7" s="180" t="n"/>
    </row>
    <row r="9" ht="21" customHeight="1" s="173">
      <c r="B9" s="216" t="inlineStr">
        <is>
          <t>1 · EVALUACIÓN NACIONAL DE RIESGOS (Art. 10 Septies, segundo párrafo)</t>
        </is>
      </c>
    </row>
    <row r="10" ht="15" customHeight="1" s="173">
      <c r="B10" s="270" t="inlineStr">
        <is>
          <t>Versión o año de la ENR tomada en cuenta:</t>
        </is>
      </c>
      <c r="D10" s="304" t="n"/>
    </row>
    <row r="11" ht="15" customHeight="1" s="173">
      <c r="B11" s="270" t="inlineStr">
        <is>
          <t>Fecha en que se consultó:</t>
        </is>
      </c>
      <c r="D11" s="305" t="n"/>
    </row>
    <row r="12" ht="31.5" customHeight="1" s="173">
      <c r="B12" s="270" t="inlineStr">
        <is>
          <t>Amenazas, sectores y tipologías de la ENR que aplican a esta actividad:</t>
        </is>
      </c>
      <c r="D12" s="353" t="n"/>
      <c r="E12" s="179" t="n"/>
      <c r="F12" s="179" t="n"/>
      <c r="G12" s="180" t="n"/>
    </row>
    <row r="13" ht="31.5" customHeight="1" s="173">
      <c r="B13" s="270" t="inlineStr">
        <is>
          <t>Cómo se reflejó la ENR en esta evaluación:</t>
        </is>
      </c>
      <c r="D13" s="353" t="n"/>
      <c r="E13" s="179" t="n"/>
      <c r="F13" s="179" t="n"/>
      <c r="G13" s="180" t="n"/>
    </row>
    <row r="14" ht="15" customHeight="1" s="173">
      <c r="B14" s="270" t="inlineStr">
        <is>
          <t>¿La ENR se actualizó después de esta evaluación?</t>
        </is>
      </c>
      <c r="D14" s="304" t="n"/>
    </row>
    <row r="15" ht="27.75" customHeight="1" s="173">
      <c r="D15" s="307">
        <f>IF($D$14="Sí","⚠ La actualización de la Evaluación Nacional de Riesgos obliga a revisar esta evaluación (Art. 10 Septies 3), sin esperar a que se cumplan los doce meses.","")</f>
        <v/>
      </c>
    </row>
    <row r="17" ht="21" customHeight="1" s="173">
      <c r="B17" s="216" t="inlineStr">
        <is>
          <t>2 · DATOS DE DOCE MESES Y CONCILIACIÓN CON EL MECANISMO AUTOMATIZADO (Art. 10 Septies 2, fr. I y II)</t>
        </is>
      </c>
    </row>
    <row r="18" ht="31.5" customHeight="1" s="173">
      <c r="B18" s="178" t="inlineStr">
        <is>
          <t>Dato mínimo de doce meses</t>
        </is>
      </c>
      <c r="C18" s="180" t="n"/>
      <c r="D18" s="178" t="n"/>
      <c r="E18" s="178" t="n"/>
      <c r="F18" s="178" t="n"/>
      <c r="G18" s="178" t="inlineStr">
        <is>
          <t>Estatus</t>
        </is>
      </c>
    </row>
    <row r="19" ht="19.5" customHeight="1" s="173">
      <c r="B19" s="236" t="inlineStr">
        <is>
          <t>Número de Clientes o Usuarios</t>
        </is>
      </c>
      <c r="C19" s="180" t="n"/>
      <c r="D19" s="308">
        <f>INICIO!$C$32</f>
        <v/>
      </c>
      <c r="E19" s="309" t="n"/>
      <c r="F19" s="308">
        <f>IF(OR($D19="",$E19=""),"",$E19-$D19)</f>
        <v/>
      </c>
      <c r="G19" s="238">
        <f>IF($F19="","",IF($F19=0,"Conciliado","Diferencia"))</f>
        <v/>
      </c>
    </row>
    <row r="20" ht="19.5" customHeight="1" s="173">
      <c r="B20" s="236" t="inlineStr">
        <is>
          <t>Número de operaciones (actos u operaciones)</t>
        </is>
      </c>
      <c r="C20" s="180" t="n"/>
      <c r="D20" s="308">
        <f>INICIO!$C$33</f>
        <v/>
      </c>
      <c r="E20" s="309" t="n"/>
      <c r="F20" s="308">
        <f>IF(OR($D20="",$E20=""),"",$E20-$D20)</f>
        <v/>
      </c>
      <c r="G20" s="238">
        <f>IF($F20="","",IF($F20=0,"Conciliado","Diferencia"))</f>
        <v/>
      </c>
    </row>
    <row r="21" ht="19.5" customHeight="1" s="173">
      <c r="B21" s="236" t="inlineStr">
        <is>
          <t>Monto operado en el periodo</t>
        </is>
      </c>
      <c r="C21" s="180" t="n"/>
      <c r="D21" s="310">
        <f>INICIO!$C$34</f>
        <v/>
      </c>
      <c r="E21" s="311" t="n"/>
      <c r="F21" s="310">
        <f>IF(OR($D21="",$E21=""),"",$E21-$D21)</f>
        <v/>
      </c>
      <c r="G21" s="238">
        <f>IF($F21="","",IF($F21=0,"Conciliado","Diferencia"))</f>
        <v/>
      </c>
    </row>
    <row r="22" ht="19.5" customHeight="1" s="173">
      <c r="B22" s="270" t="inlineStr">
        <is>
          <t>Sistema o mecanismo automatizado del que se obtuvieron las cifras:</t>
        </is>
      </c>
      <c r="D22" s="353" t="n"/>
      <c r="E22" s="179" t="n"/>
      <c r="F22" s="179" t="n"/>
      <c r="G22" s="180" t="n"/>
    </row>
    <row r="23" ht="15" customHeight="1" s="173">
      <c r="B23" s="270" t="inlineStr">
        <is>
          <t>Fecha de la conciliación:</t>
        </is>
      </c>
      <c r="D23" s="305" t="n"/>
    </row>
    <row r="24" ht="30" customHeight="1" s="173">
      <c r="B24" s="270" t="inlineStr">
        <is>
          <t>Explicación de las diferencias (si las hay):</t>
        </is>
      </c>
      <c r="D24" s="353" t="n"/>
      <c r="E24" s="179" t="n"/>
      <c r="F24" s="179" t="n"/>
      <c r="G24" s="180" t="n"/>
    </row>
    <row r="25" ht="31.5" customHeight="1" s="173">
      <c r="D25" s="181">
        <f>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
      </c>
      <c r="E25" s="179" t="n"/>
      <c r="F25" s="179" t="n"/>
      <c r="G25" s="180" t="n"/>
    </row>
    <row r="27" ht="21" customHeight="1" s="173">
      <c r="B27" s="216" t="inlineStr">
        <is>
          <t>3 · DATOS PROYECTADOS (Art. 10 Septies 2, párrafo siguiente a la fr. II)</t>
        </is>
      </c>
    </row>
    <row r="28" ht="15" customHeight="1" s="173">
      <c r="B28" s="270" t="inlineStr">
        <is>
          <t>¿La entidad operó durante todo el periodo evaluado?</t>
        </is>
      </c>
      <c r="D28" s="304" t="n"/>
    </row>
    <row r="29" ht="30" customHeight="1" s="173">
      <c r="B29" s="270" t="inlineStr">
        <is>
          <t>Si no operó todo el periodo: base y metodología de la proyección</t>
        </is>
      </c>
      <c r="D29" s="353" t="n"/>
      <c r="E29" s="179" t="n"/>
      <c r="F29" s="179" t="n"/>
      <c r="G29" s="180" t="n"/>
    </row>
    <row r="30" ht="19.5" customHeight="1" s="173">
      <c r="B30" s="270" t="inlineStr">
        <is>
          <t>Fecha en que deben sustituirse los proyectados por datos reales:</t>
        </is>
      </c>
      <c r="D30" s="227">
        <f>IF(INICIO!$C$27="","(captura la fecha de la evaluación en INICIO)",CHOOSE(MONTH(EDATE(INICIO!$C$27,12)),"enero","febrero","marzo","abril","mayo","junio","julio","agosto","septiembre","octubre","noviembre","diciembre")&amp;" de "&amp;YEAR(EDATE(INICIO!$C$27,12)))</f>
        <v/>
      </c>
      <c r="E30" s="179" t="n"/>
      <c r="F30" s="179" t="n"/>
      <c r="G30" s="180" t="n"/>
    </row>
    <row r="31" ht="27.75" customHeight="1" s="173">
      <c r="D31" s="307">
        <f>IF($D$28="No","⚠ Estás trabajando con datos proyectados. Al cumplirse los doce meses debes actualizar la evaluación con datos reales (Art. 10 Septies 2).","")</f>
        <v/>
      </c>
    </row>
    <row r="33" ht="21" customHeight="1" s="173">
      <c r="B33" s="216" t="inlineStr">
        <is>
          <t>4 · APROBACIÓN, CONSTANCIA Y CONSERVACIÓN (Art. 10 Septies 3, tercer párrafo)</t>
        </is>
      </c>
    </row>
    <row r="34" ht="15" customHeight="1" s="173">
      <c r="B34" s="270" t="inlineStr">
        <is>
          <t>Elaboró la evaluación (nombre y cargo):</t>
        </is>
      </c>
      <c r="D34" s="353" t="n"/>
    </row>
    <row r="35" ht="15" customHeight="1" s="173">
      <c r="B35" s="270" t="inlineStr">
        <is>
          <t>Fecha de elaboración:</t>
        </is>
      </c>
      <c r="D35" s="305" t="n"/>
    </row>
    <row r="36" ht="15" customHeight="1" s="173">
      <c r="B36" s="270" t="inlineStr">
        <is>
          <t>Aprobó la evaluación (nombre y cargo):</t>
        </is>
      </c>
      <c r="D36" s="353" t="n"/>
    </row>
    <row r="37" ht="15" customHeight="1" s="173">
      <c r="B37" s="270" t="inlineStr">
        <is>
          <t>Fecha de aprobación:</t>
        </is>
      </c>
      <c r="D37" s="305" t="n"/>
    </row>
    <row r="38" ht="15" customHeight="1" s="173">
      <c r="B38" s="270" t="inlineStr">
        <is>
          <t>Medio en que consta la aprobación:</t>
        </is>
      </c>
      <c r="D38" s="306" t="n"/>
      <c r="E38" s="179" t="n"/>
      <c r="F38" s="179" t="n"/>
      <c r="G38" s="180" t="n"/>
    </row>
    <row r="39" ht="19.5" customHeight="1" s="173">
      <c r="B39" s="270" t="inlineStr">
        <is>
          <t>Lugar de resguardo del expediente de la evaluación:</t>
        </is>
      </c>
      <c r="D39" s="353" t="n"/>
      <c r="E39" s="179" t="n"/>
      <c r="F39" s="179" t="n"/>
      <c r="G39" s="180" t="n"/>
    </row>
    <row r="40" ht="19.5" customHeight="1" s="173">
      <c r="B40" s="270" t="inlineStr">
        <is>
          <t>Conservar al menos hasta:</t>
        </is>
      </c>
      <c r="D40" s="227">
        <f>IF($D$37="","(captura la fecha de aprobación)",CHOOSE(MONTH(EDATE($D$37,120)),"enero","febrero","marzo","abril","mayo","junio","julio","agosto","septiembre","octubre","noviembre","diciembre")&amp;" de "&amp;YEAR(EDATE($D$37,120)))</f>
        <v/>
      </c>
      <c r="E40" s="179" t="n"/>
      <c r="F40" s="179" t="n"/>
      <c r="G40" s="180" t="n"/>
    </row>
    <row r="41" ht="27.75" customHeight="1" s="173">
      <c r="D41" s="307">
        <f>IF($D$37="","⚠ Sin fecha de aprobación no se acredita que la evaluación fue aprobada ni puede calcularse el plazo de conservación de diez años.","")</f>
        <v/>
      </c>
    </row>
    <row r="43" ht="21" customHeight="1" s="173">
      <c r="B43" s="216" t="inlineStr">
        <is>
          <t>5 · LOS DOS PLAZOS DE DOCE MESES — NO SON EL MISMO</t>
        </is>
      </c>
    </row>
    <row r="44" ht="31.5" customHeight="1" s="173">
      <c r="B44" s="178" t="inlineStr">
        <is>
          <t>Obligación</t>
        </is>
      </c>
      <c r="C44" s="180" t="n"/>
      <c r="D44" s="178" t="n"/>
      <c r="E44" s="178" t="n"/>
      <c r="F44" s="178" t="n"/>
      <c r="G44" s="180" t="n"/>
    </row>
    <row r="45" ht="27.75" customHeight="1" s="173">
      <c r="B45" s="181" t="inlineStr">
        <is>
          <t>Revisar y actualizar esta evaluación</t>
        </is>
      </c>
      <c r="C45" s="180" t="n"/>
      <c r="D45" s="312" t="n"/>
      <c r="E45" s="238">
        <f>IF(INICIO!$C$27="","",CHOOSE(MONTH(EDATE(INICIO!$C$27,12)),"enero","febrero","marzo","abril","mayo","junio","julio","agosto","septiembre","octubre","noviembre","diciembre")&amp;" de "&amp;YEAR(EDATE(INICIO!$C$27,12)))</f>
        <v/>
      </c>
      <c r="F45" s="313" t="n"/>
      <c r="G45" s="180" t="n"/>
    </row>
    <row r="46" ht="27.75" customHeight="1" s="173">
      <c r="B46" s="181" t="inlineStr">
        <is>
          <t>Modificar las políticas conforme a los resultados</t>
        </is>
      </c>
      <c r="C46" s="180" t="n"/>
      <c r="D46" s="312" t="n"/>
      <c r="E46" s="238">
        <f>IF(INICIO!$C$27="","",CHOOSE(MONTH(EDATE(INICIO!$C$27,12)),"enero","febrero","marzo","abril","mayo","junio","julio","agosto","septiembre","octubre","noviembre","diciembre")&amp;" de "&amp;YEAR(EDATE(INICIO!$C$27,12)))</f>
        <v/>
      </c>
      <c r="F46" s="314" t="n"/>
      <c r="G46" s="180" t="n"/>
    </row>
    <row r="47" ht="31.5" customHeight="1" s="173">
      <c r="D47" s="181">
        <f>IF($F$46="","Falta registrar el año y el mes en que se modificarán las políticas conforme a los resultados (Art. 10 Septies 2, último párrafo).","Compromiso registrado. Los dos plazos corren en paralelo: revisar la evaluación y modificar las políticas son obligaciones distintas.")</f>
        <v/>
      </c>
      <c r="E47" s="179" t="n"/>
      <c r="F47" s="179" t="n"/>
      <c r="G47" s="180" t="n"/>
    </row>
    <row r="49" ht="21" customHeight="1" s="173">
      <c r="B49" s="216" t="inlineStr">
        <is>
          <t>6 · CONTROL DE VERSIONES DE LA EVALUACIÓN</t>
        </is>
      </c>
    </row>
    <row r="50" ht="19.5" customHeight="1" s="173">
      <c r="B50" s="178" t="inlineStr">
        <is>
          <t>Versión</t>
        </is>
      </c>
      <c r="C50" s="180" t="n"/>
      <c r="D50" s="178" t="n"/>
      <c r="E50" s="178" t="n"/>
      <c r="F50" s="180" t="n"/>
      <c r="G50" s="178" t="inlineStr">
        <is>
          <t>Responsable</t>
        </is>
      </c>
    </row>
    <row r="51" ht="21.75" customHeight="1" s="173">
      <c r="B51" s="304" t="inlineStr">
        <is>
          <t>v.1</t>
        </is>
      </c>
      <c r="C51" s="180" t="n"/>
      <c r="D51" s="305" t="n"/>
      <c r="E51" s="306" t="n"/>
      <c r="F51" s="180" t="n"/>
      <c r="G51" s="304" t="inlineStr">
        <is>
          <t>Encargado de Cumplimiento</t>
        </is>
      </c>
    </row>
    <row r="52" ht="21.75" customHeight="1" s="173">
      <c r="B52" s="304" t="n"/>
      <c r="C52" s="180" t="n"/>
      <c r="D52" s="305" t="n"/>
      <c r="E52" s="306" t="n"/>
      <c r="F52" s="180" t="n"/>
      <c r="G52" s="304" t="n"/>
    </row>
    <row r="53" ht="21.75" customHeight="1" s="173">
      <c r="B53" s="315" t="inlineStr">
        <is>
          <t>7 · METODOLOGÍA INCORPORADA AL MANUAL (Art. 37, último párrafo)</t>
        </is>
      </c>
      <c r="C53" s="180" t="n"/>
      <c r="D53" s="305" t="n"/>
      <c r="E53" s="306" t="n"/>
      <c r="F53" s="180" t="n"/>
      <c r="G53" s="304" t="n"/>
    </row>
    <row r="54" ht="21.75" customHeight="1" s="173">
      <c r="B54" s="316" t="inlineStr">
        <is>
          <t>¿El Manual incluye el diseño de esta metodología?</t>
        </is>
      </c>
      <c r="C54" s="180" t="n"/>
      <c r="D54" s="317" t="n"/>
      <c r="E54" s="318">
        <f>IF(OR($D$54="No",$D$55="No"),"⚠ El Art. 37, último párrafo, exige que el Manual incluya el diseño de la metodología y los criterios de apertura, limitación o terminación congruentes con ella. Sin eso, la evaluación existe pero no está incorporada donde la norma la pide.","")</f>
        <v/>
      </c>
      <c r="F54" s="180" t="n"/>
      <c r="G54" s="304" t="n"/>
    </row>
    <row r="55" ht="21.75" customHeight="1" s="173">
      <c r="B55" s="316" t="inlineStr">
        <is>
          <t>¿Incluye los criterios de apertura, limitación o terminación congruentes con ella?</t>
        </is>
      </c>
      <c r="C55" s="180" t="n"/>
      <c r="D55" s="317" t="n"/>
      <c r="E55" s="306" t="n"/>
      <c r="F55" s="180" t="n"/>
      <c r="G55" s="304" t="n"/>
    </row>
    <row r="56" ht="15" customHeight="1" s="173">
      <c r="B56" s="196" t="inlineStr">
        <is>
          <t>Numeral del Manual donde consta:</t>
        </is>
      </c>
      <c r="D56" s="319" t="n"/>
    </row>
    <row r="57" ht="15" customHeight="1" s="173">
      <c r="B57" s="202" t="inlineStr">
        <is>
          <t>Esta hoja es la constancia por escrito que exige el Art. 10 Septies 3: impresa y firmada, junto con A1 a A8, acredita que la evaluación existió, quién la aprobó y con qué fuentes se hizo. Conservarla diez años.</t>
        </is>
      </c>
    </row>
  </sheetData>
  <mergeCells count="44">
    <mergeCell ref="E50:F50"/>
    <mergeCell ref="B54:C54"/>
    <mergeCell ref="E55:F55"/>
    <mergeCell ref="D12:G12"/>
    <mergeCell ref="D39:G39"/>
    <mergeCell ref="D25:G25"/>
    <mergeCell ref="B17:G17"/>
    <mergeCell ref="B46:C46"/>
    <mergeCell ref="D24:G24"/>
    <mergeCell ref="D30:G30"/>
    <mergeCell ref="D15:G15"/>
    <mergeCell ref="E52:F52"/>
    <mergeCell ref="D29:G29"/>
    <mergeCell ref="B18:C18"/>
    <mergeCell ref="D38:G38"/>
    <mergeCell ref="B52:C52"/>
    <mergeCell ref="B21:C21"/>
    <mergeCell ref="E51:F51"/>
    <mergeCell ref="B9:G9"/>
    <mergeCell ref="F45:G45"/>
    <mergeCell ref="B49:G49"/>
    <mergeCell ref="B53:C53"/>
    <mergeCell ref="B33:G33"/>
    <mergeCell ref="D22:G22"/>
    <mergeCell ref="D40:G40"/>
    <mergeCell ref="B44:C44"/>
    <mergeCell ref="D31:G31"/>
    <mergeCell ref="B5:G5"/>
    <mergeCell ref="B19:C19"/>
    <mergeCell ref="F46:G46"/>
    <mergeCell ref="D13:G13"/>
    <mergeCell ref="B55:C55"/>
    <mergeCell ref="D41:G41"/>
    <mergeCell ref="E54:F54"/>
    <mergeCell ref="B51:C51"/>
    <mergeCell ref="B20:C20"/>
    <mergeCell ref="D47:G47"/>
    <mergeCell ref="B27:G27"/>
    <mergeCell ref="B45:C45"/>
    <mergeCell ref="D7:G7"/>
    <mergeCell ref="B43:G43"/>
    <mergeCell ref="B50:C50"/>
    <mergeCell ref="E53:F53"/>
    <mergeCell ref="F44:G44"/>
  </mergeCells>
  <conditionalFormatting sqref="D6">
    <cfRule type="expression" rank="0" priority="2" equalAverage="0" aboveAverage="0" dxfId="1" text="" percent="0" bottom="0">
      <formula>$D$6=0</formula>
    </cfRule>
    <cfRule type="expression" rank="0" priority="3" equalAverage="0" aboveAverage="0" dxfId="0" text="" percent="0" bottom="0">
      <formula>$D$6&gt;0</formula>
    </cfRule>
  </conditionalFormatting>
  <conditionalFormatting sqref="G19">
    <cfRule type="expression" rank="0" priority="4" equalAverage="0" aboveAverage="0" dxfId="0" text="" percent="0" bottom="0">
      <formula>EXACT($G19,"Diferencia")</formula>
    </cfRule>
    <cfRule type="expression" rank="0" priority="5" equalAverage="0" aboveAverage="0" dxfId="1" text="" percent="0" bottom="0">
      <formula>EXACT($G19,"Conciliado")</formula>
    </cfRule>
  </conditionalFormatting>
  <conditionalFormatting sqref="G20">
    <cfRule type="expression" rank="0" priority="6" equalAverage="0" aboveAverage="0" dxfId="0" text="" percent="0" bottom="0">
      <formula>EXACT($G20,"Diferencia")</formula>
    </cfRule>
    <cfRule type="expression" rank="0" priority="7" equalAverage="0" aboveAverage="0" dxfId="1" text="" percent="0" bottom="0">
      <formula>EXACT($G20,"Conciliado")</formula>
    </cfRule>
  </conditionalFormatting>
  <conditionalFormatting sqref="G21">
    <cfRule type="expression" rank="0" priority="8" equalAverage="0" aboveAverage="0" dxfId="0" text="" percent="0" bottom="0">
      <formula>EXACT($G21,"Diferencia")</formula>
    </cfRule>
    <cfRule type="expression" rank="0" priority="9" equalAverage="0" aboveAverage="0" dxfId="1" text="" percent="0" bottom="0">
      <formula>EXACT($G21,"Conciliado")</formula>
    </cfRule>
  </conditionalFormatting>
  <dataValidations count="3">
    <dataValidation sqref="D14 D28" showDropDown="0" showInputMessage="0" showErrorMessage="0" allowBlank="1" type="list" errorStyle="stop" operator="between">
      <formula1>"Sí,No"</formula1>
      <formula2>0</formula2>
    </dataValidation>
    <dataValidation sqref="D38" showDropDown="0" showInputMessage="0" showErrorMessage="0" allowBlank="1" type="list" errorStyle="stop" operator="between">
      <formula1>"Acta de sesión del órgano de administración,Oficio o memorándum firmado,Firma autógrafa en el documento,Firma electrónica avanzada,Correo electrónico institucional"</formula1>
      <formula2>0</formula2>
    </dataValidation>
    <dataValidation sqref="D54:D55" showDropDown="0" showInputMessage="0" showErrorMessage="0" allowBlank="1" type="list" errorStyle="stop" operator="between">
      <formula1>"Sí,No"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tabColor rgb="00F2A541"/>
    <outlinePr summaryBelow="1" summaryRight="1"/>
    <pageSetUpPr/>
  </sheetPr>
  <dimension ref="B2:K23"/>
  <sheetViews>
    <sheetView showGridLines="0" workbookViewId="0">
      <selection activeCell="A1" sqref="A1"/>
    </sheetView>
  </sheetViews>
  <sheetFormatPr baseColWidth="8" defaultRowHeight="15"/>
  <cols>
    <col width="2" customWidth="1" style="173" min="1" max="1"/>
    <col width="8" customWidth="1" style="173" min="2" max="2"/>
    <col width="46" customWidth="1" style="173" min="3" max="3"/>
    <col width="13.5" customWidth="1" style="173" min="4" max="4"/>
    <col width="13.5" customWidth="1" style="173" min="5" max="5"/>
    <col width="13.5" customWidth="1" style="173" min="6" max="6"/>
    <col width="13.5" customWidth="1" style="173" min="7" max="7"/>
    <col width="13.5" customWidth="1" style="173" min="8" max="8"/>
    <col width="13.5" customWidth="1" style="173" min="9" max="9"/>
    <col width="11" customWidth="1" style="173" min="10" max="10"/>
    <col width="13" customWidth="1" style="173" min="11" max="11"/>
  </cols>
  <sheetData>
    <row r="2">
      <c r="B2" s="354" t="inlineStr">
        <is>
          <t>PRODUCTOS Y SERVICIOS · nivel de riesgo de lo que ofreces</t>
        </is>
      </c>
    </row>
    <row r="3">
      <c r="B3" s="355" t="inlineStr">
        <is>
          <t>Un renglón por producto, servicio u operación que ofreces. Cada indicador se califica por columna y el nivel del producto es el promedio de sus indicadores.</t>
        </is>
      </c>
    </row>
    <row r="4">
      <c r="B4" s="413" t="inlineStr">
        <is>
          <t>Escribe aquí tus productos, servicios u operaciones. Los seis indicadores y las listas desplegables ya están puestos; sólo agrega renglones si necesitas más de seis.</t>
        </is>
      </c>
    </row>
    <row r="5" ht="15" customHeight="1" s="173">
      <c r="B5" s="410" t="inlineStr">
        <is>
          <t>Fuera de secuencia  ·  se llena una vez y se actualiza cada que agregas un producto  ·  Sigue: VARIABLES</t>
        </is>
      </c>
    </row>
    <row r="6" ht="20" customHeight="1" s="173">
      <c r="B6" s="357" t="inlineStr">
        <is>
          <t>CATÁLOGO DE PRODUCTOS  ·  califica cada indicador en Alto, Medio o Bajo</t>
        </is>
      </c>
    </row>
    <row r="7" ht="46" customHeight="1" s="173">
      <c r="B7" s="407" t="inlineStr">
        <is>
          <t>Clave</t>
        </is>
      </c>
      <c r="C7" s="407" t="inlineStr">
        <is>
          <t>Producto, servicio u operación</t>
        </is>
      </c>
      <c r="D7" s="407" t="inlineStr">
        <is>
          <t>Valor del producto o servicio</t>
        </is>
      </c>
      <c r="E7" s="407" t="inlineStr">
        <is>
          <t>Liquidez o convertibilidad</t>
        </is>
      </c>
      <c r="F7" s="407" t="inlineStr">
        <is>
          <t>Anonimato que permite</t>
        </is>
      </c>
      <c r="G7" s="407" t="inlineStr">
        <is>
          <t>Facilidad de transferir u ocultar valor</t>
        </is>
      </c>
      <c r="H7" s="407" t="inlineStr">
        <is>
          <t>Exposición al financiamiento al terrorismo</t>
        </is>
      </c>
      <c r="I7" s="407" t="inlineStr">
        <is>
          <t>Uso de efectivo asociado</t>
        </is>
      </c>
      <c r="J7" s="407" t="inlineStr">
        <is>
          <t>Nivel</t>
        </is>
      </c>
      <c r="K7" s="407" t="inlineStr">
        <is>
          <t>Riesgo</t>
        </is>
      </c>
    </row>
    <row r="8">
      <c r="B8" s="361" t="inlineStr">
        <is>
          <t>P-01</t>
        </is>
      </c>
      <c r="C8" s="362" t="inlineStr">
        <is>
          <t>Compraventa de casa habitación de interés medio</t>
        </is>
      </c>
      <c r="D8" s="363" t="inlineStr">
        <is>
          <t>Medio</t>
        </is>
      </c>
      <c r="E8" s="363" t="inlineStr">
        <is>
          <t>Bajo</t>
        </is>
      </c>
      <c r="F8" s="363" t="inlineStr">
        <is>
          <t>Medio</t>
        </is>
      </c>
      <c r="G8" s="363" t="inlineStr">
        <is>
          <t>Medio</t>
        </is>
      </c>
      <c r="H8" s="363" t="inlineStr">
        <is>
          <t>Bajo</t>
        </is>
      </c>
      <c r="I8" s="363" t="inlineStr">
        <is>
          <t>Medio</t>
        </is>
      </c>
      <c r="J8" s="387">
        <f>(IF(D8="Alto",5,IF(D8="Medio",3,1))+IF(E8="Alto",5,IF(E8="Medio",3,1))+IF(F8="Alto",5,IF(F8="Medio",3,1))+IF(G8="Alto",5,IF(G8="Medio",3,1))+IF(H8="Alto",5,IF(H8="Medio",3,1))+IF(I8="Alto",5,IF(I8="Medio",3,1)))/6</f>
        <v/>
      </c>
      <c r="K8" s="361">
        <f>IF(J8&gt;=3.67,"ALTO",IF(J8&gt;=2.34,"MEDIO","BAJO"))</f>
        <v/>
      </c>
    </row>
    <row r="9">
      <c r="B9" s="361" t="n"/>
      <c r="C9" s="362" t="n"/>
      <c r="D9" s="363" t="n"/>
      <c r="E9" s="363" t="n"/>
      <c r="F9" s="363" t="n"/>
      <c r="G9" s="363" t="n"/>
      <c r="H9" s="363" t="n"/>
      <c r="I9" s="363" t="n"/>
      <c r="J9" s="387">
        <f>(IF(D9="Alto",5,IF(D9="Medio",3,1))+IF(E9="Alto",5,IF(E9="Medio",3,1))+IF(F9="Alto",5,IF(F9="Medio",3,1))+IF(G9="Alto",5,IF(G9="Medio",3,1))+IF(H9="Alto",5,IF(H9="Medio",3,1))+IF(I9="Alto",5,IF(I9="Medio",3,1)))/6</f>
        <v/>
      </c>
      <c r="K9" s="361">
        <f>IF(J9&gt;=3.67,"ALTO",IF(J9&gt;=2.34,"MEDIO","BAJO"))</f>
        <v/>
      </c>
    </row>
    <row r="10">
      <c r="B10" s="361" t="n"/>
      <c r="C10" s="362" t="n"/>
      <c r="D10" s="363" t="n"/>
      <c r="E10" s="363" t="n"/>
      <c r="F10" s="363" t="n"/>
      <c r="G10" s="363" t="n"/>
      <c r="H10" s="363" t="n"/>
      <c r="I10" s="363" t="n"/>
      <c r="J10" s="387">
        <f>(IF(D10="Alto",5,IF(D10="Medio",3,1))+IF(E10="Alto",5,IF(E10="Medio",3,1))+IF(F10="Alto",5,IF(F10="Medio",3,1))+IF(G10="Alto",5,IF(G10="Medio",3,1))+IF(H10="Alto",5,IF(H10="Medio",3,1))+IF(I10="Alto",5,IF(I10="Medio",3,1)))/6</f>
        <v/>
      </c>
      <c r="K10" s="361">
        <f>IF(J10&gt;=3.67,"ALTO",IF(J10&gt;=2.34,"MEDIO","BAJO"))</f>
        <v/>
      </c>
    </row>
    <row r="11">
      <c r="B11" s="361" t="n"/>
      <c r="C11" s="362" t="n"/>
      <c r="D11" s="363" t="n"/>
      <c r="E11" s="363" t="n"/>
      <c r="F11" s="363" t="n"/>
      <c r="G11" s="363" t="n"/>
      <c r="H11" s="363" t="n"/>
      <c r="I11" s="363" t="n"/>
      <c r="J11" s="387">
        <f>(IF(D11="Alto",5,IF(D11="Medio",3,1))+IF(E11="Alto",5,IF(E11="Medio",3,1))+IF(F11="Alto",5,IF(F11="Medio",3,1))+IF(G11="Alto",5,IF(G11="Medio",3,1))+IF(H11="Alto",5,IF(H11="Medio",3,1))+IF(I11="Alto",5,IF(I11="Medio",3,1)))/6</f>
        <v/>
      </c>
      <c r="K11" s="361">
        <f>IF(J11&gt;=3.67,"ALTO",IF(J11&gt;=2.34,"MEDIO","BAJO"))</f>
        <v/>
      </c>
    </row>
    <row r="12">
      <c r="B12" s="361" t="n"/>
      <c r="C12" s="362" t="n"/>
      <c r="D12" s="363" t="n"/>
      <c r="E12" s="363" t="n"/>
      <c r="F12" s="363" t="n"/>
      <c r="G12" s="363" t="n"/>
      <c r="H12" s="363" t="n"/>
      <c r="I12" s="363" t="n"/>
      <c r="J12" s="387">
        <f>(IF(D12="Alto",5,IF(D12="Medio",3,1))+IF(E12="Alto",5,IF(E12="Medio",3,1))+IF(F12="Alto",5,IF(F12="Medio",3,1))+IF(G12="Alto",5,IF(G12="Medio",3,1))+IF(H12="Alto",5,IF(H12="Medio",3,1))+IF(I12="Alto",5,IF(I12="Medio",3,1)))/6</f>
        <v/>
      </c>
      <c r="K12" s="361">
        <f>IF(J12&gt;=3.67,"ALTO",IF(J12&gt;=2.34,"MEDIO","BAJO"))</f>
        <v/>
      </c>
    </row>
    <row r="13">
      <c r="B13" s="361" t="n"/>
      <c r="C13" s="362" t="n"/>
      <c r="D13" s="363" t="n"/>
      <c r="E13" s="363" t="n"/>
      <c r="F13" s="363" t="n"/>
      <c r="G13" s="363" t="n"/>
      <c r="H13" s="363" t="n"/>
      <c r="I13" s="363" t="n"/>
      <c r="J13" s="387">
        <f>(IF(D13="Alto",5,IF(D13="Medio",3,1))+IF(E13="Alto",5,IF(E13="Medio",3,1))+IF(F13="Alto",5,IF(F13="Medio",3,1))+IF(G13="Alto",5,IF(G13="Medio",3,1))+IF(H13="Alto",5,IF(H13="Medio",3,1))+IF(I13="Alto",5,IF(I13="Medio",3,1)))/6</f>
        <v/>
      </c>
      <c r="K13" s="361">
        <f>IF(J13&gt;=3.67,"ALTO",IF(J13&gt;=2.34,"MEDIO","BAJO"))</f>
        <v/>
      </c>
    </row>
    <row r="15">
      <c r="B15" s="386" t="inlineStr">
        <is>
          <t>Los seis indicadores corresponden al elemento 1 de la hoja A1 —actos u operaciones— y a los delitos de los artículos 139 Quáter y 400 Bis del Código Penal Federal. El anonimato no es un atributo del Cliente sino del producto: por eso se mide aquí y no en la hoja B CLIENTE.</t>
        </is>
      </c>
    </row>
    <row r="16"/>
    <row r="17">
      <c r="C17" s="379" t="inlineStr">
        <is>
          <t>Fundamento de cada indicador</t>
        </is>
      </c>
    </row>
    <row r="18">
      <c r="C18" s="388" t="inlineStr">
        <is>
          <t>Valor del producto o servicio</t>
        </is>
      </c>
      <c r="D18" s="388" t="inlineStr">
        <is>
          <t>RCG 10 Septies 1 fr. I a)</t>
        </is>
      </c>
    </row>
    <row r="19">
      <c r="C19" s="388" t="inlineStr">
        <is>
          <t>Liquidez o convertibilidad</t>
        </is>
      </c>
      <c r="D19" s="388" t="inlineStr">
        <is>
          <t>RCG 10 Septies 1 fr. I a)</t>
        </is>
      </c>
    </row>
    <row r="20">
      <c r="C20" s="388" t="inlineStr">
        <is>
          <t>Anonimato que permite</t>
        </is>
      </c>
      <c r="D20" s="388" t="inlineStr">
        <is>
          <t>CPF 400 Bis</t>
        </is>
      </c>
    </row>
    <row r="21">
      <c r="C21" s="388" t="inlineStr">
        <is>
          <t>Facilidad de transferir u ocultar valor</t>
        </is>
      </c>
      <c r="D21" s="388" t="inlineStr">
        <is>
          <t>CPF 400 Bis</t>
        </is>
      </c>
    </row>
    <row r="22">
      <c r="C22" s="388" t="inlineStr">
        <is>
          <t>Exposición al financiamiento al terrorismo</t>
        </is>
      </c>
      <c r="D22" s="388" t="inlineStr">
        <is>
          <t>CPF 139 Quáter</t>
        </is>
      </c>
    </row>
    <row r="23">
      <c r="C23" s="388" t="inlineStr">
        <is>
          <t>Uso de efectivo asociado</t>
        </is>
      </c>
      <c r="D23" s="388" t="inlineStr">
        <is>
          <t>L 32</t>
        </is>
      </c>
    </row>
  </sheetData>
  <mergeCells count="6">
    <mergeCell ref="B15:K16"/>
    <mergeCell ref="B4:K4"/>
    <mergeCell ref="B6:K6"/>
    <mergeCell ref="B2:K2"/>
    <mergeCell ref="B3:K3"/>
    <mergeCell ref="B5:K5"/>
  </mergeCells>
  <dataValidations count="1">
    <dataValidation sqref="D8:I13" showDropDown="0" showInputMessage="0" showErrorMessage="0" allowBlank="0" type="list">
      <formula1>"Alto,Medio,Bajo"</formula1>
    </dataValidation>
  </dataValidations>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B2:H110"/>
  <sheetViews>
    <sheetView showGridLines="0" workbookViewId="0">
      <selection activeCell="A1" sqref="A1"/>
    </sheetView>
  </sheetViews>
  <sheetFormatPr baseColWidth="8" defaultRowHeight="15"/>
  <cols>
    <col width="2" customWidth="1" style="173" min="1" max="1"/>
    <col width="8" customWidth="1" style="173" min="2" max="2"/>
    <col width="14" customWidth="1" style="173" min="3" max="3"/>
    <col width="44" customWidth="1" style="173" min="4" max="4"/>
    <col width="54" customWidth="1" style="173" min="5" max="5"/>
    <col width="8" customWidth="1" style="173" min="6" max="6"/>
    <col width="46" customWidth="1" style="173" min="7" max="7"/>
    <col hidden="1" width="34" customWidth="1" style="173" min="8" max="8"/>
  </cols>
  <sheetData>
    <row r="2">
      <c r="B2" s="354" t="inlineStr">
        <is>
          <t>VARIABLES POR FACTOR · el catálogo del modelo de Cliente</t>
        </is>
      </c>
    </row>
    <row r="3">
      <c r="B3" s="355" t="inlineStr">
        <is>
          <t>Una fila por variable. Es la política escrita del modelo: qué cuenta como riesgo alto, medio o bajo en cada factor. Va en el Manual (Art. 23 Bis).</t>
        </is>
      </c>
    </row>
    <row r="4">
      <c r="B4" s="413" t="inlineStr">
        <is>
          <t>Este catálogo viene precargado como PUNTO DE PARTIDA, no como norma. Revísalo, ajústalo a tu actividad y a tu criterio, y déjalo idéntico a lo que diga tu Manual de Políticas Internas. La columna «Fuente del dato» dice de qué anexo o registro sale cada factor.</t>
        </is>
      </c>
    </row>
    <row r="5" ht="15" customHeight="1" s="173">
      <c r="B5" s="410" t="inlineStr">
        <is>
          <t>Fuera de secuencia  ·  se configura una vez y se revisa al año  ·  Viene de: PRODUCTOS  ·  Sigue: B CLIENTE</t>
        </is>
      </c>
    </row>
    <row r="6" ht="20" customHeight="1" s="173">
      <c r="B6" s="357" t="inlineStr">
        <is>
          <t>CATÁLOGO DE VARIABLES</t>
        </is>
      </c>
    </row>
    <row r="7" ht="30" customHeight="1" s="173">
      <c r="B7" s="407" t="inlineStr">
        <is>
          <t>Clave</t>
        </is>
      </c>
      <c r="C7" s="407" t="inlineStr">
        <is>
          <t>Familia</t>
        </is>
      </c>
      <c r="D7" s="407" t="inlineStr">
        <is>
          <t>Factor</t>
        </is>
      </c>
      <c r="E7" s="407" t="inlineStr">
        <is>
          <t>Variable</t>
        </is>
      </c>
      <c r="F7" s="407" t="inlineStr">
        <is>
          <t>Nivel</t>
        </is>
      </c>
      <c r="G7" s="407" t="inlineStr">
        <is>
          <t>Fuente del dato</t>
        </is>
      </c>
      <c r="H7" s="407" t="inlineStr">
        <is>
          <t>Llave</t>
        </is>
      </c>
    </row>
    <row r="8">
      <c r="B8" s="389" t="inlineStr">
        <is>
          <t>F01</t>
        </is>
      </c>
      <c r="C8" s="390" t="inlineStr">
        <is>
          <t>Inherente</t>
        </is>
      </c>
      <c r="D8" s="391" t="inlineStr">
        <is>
          <t>Tipo de persona y estructura</t>
        </is>
      </c>
      <c r="E8" s="362" t="inlineStr">
        <is>
          <t>Persona física mexicana, sin estructura</t>
        </is>
      </c>
      <c r="F8" s="361" t="n">
        <v>1</v>
      </c>
      <c r="G8" s="367" t="inlineStr">
        <is>
          <t>Anexo aplicable: 3 física · 4 moral · 8 fideicomiso</t>
        </is>
      </c>
      <c r="H8" s="392">
        <f>'VARIABLES'!$B8&amp;"|"&amp;'VARIABLES'!$E8</f>
        <v/>
      </c>
    </row>
    <row r="9">
      <c r="B9" s="389" t="inlineStr">
        <is>
          <t>F01</t>
        </is>
      </c>
      <c r="C9" s="390" t="inlineStr">
        <is>
          <t>Inherente</t>
        </is>
      </c>
      <c r="D9" s="391" t="inlineStr">
        <is>
          <t>Tipo de persona y estructura</t>
        </is>
      </c>
      <c r="E9" s="362" t="inlineStr">
        <is>
          <t>Persona física extranjera</t>
        </is>
      </c>
      <c r="F9" s="361" t="n">
        <v>3</v>
      </c>
      <c r="G9" s="367" t="inlineStr">
        <is>
          <t>Anexo aplicable: 3 física · 4 moral · 8 fideicomiso</t>
        </is>
      </c>
      <c r="H9" s="392">
        <f>'VARIABLES'!$B9&amp;"|"&amp;'VARIABLES'!$E9</f>
        <v/>
      </c>
    </row>
    <row r="10">
      <c r="B10" s="389" t="inlineStr">
        <is>
          <t>F01</t>
        </is>
      </c>
      <c r="C10" s="390" t="inlineStr">
        <is>
          <t>Inherente</t>
        </is>
      </c>
      <c r="D10" s="391" t="inlineStr">
        <is>
          <t>Tipo de persona y estructura</t>
        </is>
      </c>
      <c r="E10" s="362" t="inlineStr">
        <is>
          <t>Persona moral con socios identificados</t>
        </is>
      </c>
      <c r="F10" s="361" t="n">
        <v>3</v>
      </c>
      <c r="G10" s="367" t="inlineStr">
        <is>
          <t>Anexo aplicable: 3 física · 4 moral · 8 fideicomiso</t>
        </is>
      </c>
      <c r="H10" s="392">
        <f>'VARIABLES'!$B10&amp;"|"&amp;'VARIABLES'!$E10</f>
        <v/>
      </c>
    </row>
    <row r="11">
      <c r="B11" s="389" t="inlineStr">
        <is>
          <t>F01</t>
        </is>
      </c>
      <c r="C11" s="390" t="inlineStr">
        <is>
          <t>Inherente</t>
        </is>
      </c>
      <c r="D11" s="391" t="inlineStr">
        <is>
          <t>Tipo de persona y estructura</t>
        </is>
      </c>
      <c r="E11" s="362" t="inlineStr">
        <is>
          <t>Persona moral con estructura de dos o más niveles</t>
        </is>
      </c>
      <c r="F11" s="361" t="n">
        <v>5</v>
      </c>
      <c r="G11" s="367" t="inlineStr">
        <is>
          <t>Anexo aplicable: 3 física · 4 moral · 8 fideicomiso</t>
        </is>
      </c>
      <c r="H11" s="392">
        <f>'VARIABLES'!$B11&amp;"|"&amp;'VARIABLES'!$E11</f>
        <v/>
      </c>
    </row>
    <row r="12">
      <c r="B12" s="389" t="inlineStr">
        <is>
          <t>F01</t>
        </is>
      </c>
      <c r="C12" s="390" t="inlineStr">
        <is>
          <t>Inherente</t>
        </is>
      </c>
      <c r="D12" s="391" t="inlineStr">
        <is>
          <t>Tipo de persona y estructura</t>
        </is>
      </c>
      <c r="E12" s="362" t="inlineStr">
        <is>
          <t>Fideicomiso</t>
        </is>
      </c>
      <c r="F12" s="361" t="n">
        <v>5</v>
      </c>
      <c r="G12" s="367" t="inlineStr">
        <is>
          <t>Anexo aplicable: 3 física · 4 moral · 8 fideicomiso</t>
        </is>
      </c>
      <c r="H12" s="392">
        <f>'VARIABLES'!$B12&amp;"|"&amp;'VARIABLES'!$E12</f>
        <v/>
      </c>
    </row>
    <row r="13">
      <c r="B13" s="389" t="inlineStr">
        <is>
          <t>F01</t>
        </is>
      </c>
      <c r="C13" s="390" t="inlineStr">
        <is>
          <t>Inherente</t>
        </is>
      </c>
      <c r="D13" s="391" t="inlineStr">
        <is>
          <t>Tipo de persona y estructura</t>
        </is>
      </c>
      <c r="E13" s="362" t="inlineStr">
        <is>
          <t>No determinado</t>
        </is>
      </c>
      <c r="F13" s="361" t="n">
        <v>5</v>
      </c>
      <c r="G13" s="367" t="inlineStr">
        <is>
          <t>Anexo aplicable: 3 física · 4 moral · 8 fideicomiso</t>
        </is>
      </c>
      <c r="H13" s="392">
        <f>'VARIABLES'!$B13&amp;"|"&amp;'VARIABLES'!$E13</f>
        <v/>
      </c>
    </row>
    <row r="14">
      <c r="B14" s="389" t="inlineStr">
        <is>
          <t>F02</t>
        </is>
      </c>
      <c r="C14" s="390" t="inlineStr">
        <is>
          <t>Inherente</t>
        </is>
      </c>
      <c r="D14" s="391" t="inlineStr">
        <is>
          <t>Fecha de nacimiento o de constitución</t>
        </is>
      </c>
      <c r="E14" s="362" t="inlineStr">
        <is>
          <t>Persona física de 23 a 59 años</t>
        </is>
      </c>
      <c r="F14" s="361" t="n">
        <v>1</v>
      </c>
      <c r="G14" s="367" t="inlineStr">
        <is>
          <t>A3 a) ii) · A4 a) ii)</t>
        </is>
      </c>
      <c r="H14" s="392">
        <f>'VARIABLES'!$B14&amp;"|"&amp;'VARIABLES'!$E14</f>
        <v/>
      </c>
    </row>
    <row r="15">
      <c r="B15" s="389" t="inlineStr">
        <is>
          <t>F02</t>
        </is>
      </c>
      <c r="C15" s="390" t="inlineStr">
        <is>
          <t>Inherente</t>
        </is>
      </c>
      <c r="D15" s="391" t="inlineStr">
        <is>
          <t>Fecha de nacimiento o de constitución</t>
        </is>
      </c>
      <c r="E15" s="362" t="inlineStr">
        <is>
          <t>Persona física mayor de 60 años</t>
        </is>
      </c>
      <c r="F15" s="361" t="n">
        <v>1</v>
      </c>
      <c r="G15" s="367" t="inlineStr">
        <is>
          <t>A3 a) ii) · A4 a) ii)</t>
        </is>
      </c>
      <c r="H15" s="392">
        <f>'VARIABLES'!$B15&amp;"|"&amp;'VARIABLES'!$E15</f>
        <v/>
      </c>
    </row>
    <row r="16">
      <c r="B16" s="389" t="inlineStr">
        <is>
          <t>F02</t>
        </is>
      </c>
      <c r="C16" s="390" t="inlineStr">
        <is>
          <t>Inherente</t>
        </is>
      </c>
      <c r="D16" s="391" t="inlineStr">
        <is>
          <t>Fecha de nacimiento o de constitución</t>
        </is>
      </c>
      <c r="E16" s="362" t="inlineStr">
        <is>
          <t>Persona física menor de 23 años</t>
        </is>
      </c>
      <c r="F16" s="361" t="n">
        <v>3</v>
      </c>
      <c r="G16" s="367" t="inlineStr">
        <is>
          <t>A3 a) ii) · A4 a) ii)</t>
        </is>
      </c>
      <c r="H16" s="392">
        <f>'VARIABLES'!$B16&amp;"|"&amp;'VARIABLES'!$E16</f>
        <v/>
      </c>
    </row>
    <row r="17">
      <c r="B17" s="389" t="inlineStr">
        <is>
          <t>F02</t>
        </is>
      </c>
      <c r="C17" s="390" t="inlineStr">
        <is>
          <t>Inherente</t>
        </is>
      </c>
      <c r="D17" s="391" t="inlineStr">
        <is>
          <t>Fecha de nacimiento o de constitución</t>
        </is>
      </c>
      <c r="E17" s="362" t="inlineStr">
        <is>
          <t>Persona moral constituida hace más de 5 años</t>
        </is>
      </c>
      <c r="F17" s="361" t="n">
        <v>1</v>
      </c>
      <c r="G17" s="367" t="inlineStr">
        <is>
          <t>A3 a) ii) · A4 a) ii)</t>
        </is>
      </c>
      <c r="H17" s="392">
        <f>'VARIABLES'!$B17&amp;"|"&amp;'VARIABLES'!$E17</f>
        <v/>
      </c>
    </row>
    <row r="18">
      <c r="B18" s="389" t="inlineStr">
        <is>
          <t>F02</t>
        </is>
      </c>
      <c r="C18" s="390" t="inlineStr">
        <is>
          <t>Inherente</t>
        </is>
      </c>
      <c r="D18" s="391" t="inlineStr">
        <is>
          <t>Fecha de nacimiento o de constitución</t>
        </is>
      </c>
      <c r="E18" s="362" t="inlineStr">
        <is>
          <t>Persona moral constituida hace 2 a 5 años</t>
        </is>
      </c>
      <c r="F18" s="361" t="n">
        <v>3</v>
      </c>
      <c r="G18" s="367" t="inlineStr">
        <is>
          <t>A3 a) ii) · A4 a) ii)</t>
        </is>
      </c>
      <c r="H18" s="392">
        <f>'VARIABLES'!$B18&amp;"|"&amp;'VARIABLES'!$E18</f>
        <v/>
      </c>
    </row>
    <row r="19">
      <c r="B19" s="389" t="inlineStr">
        <is>
          <t>F02</t>
        </is>
      </c>
      <c r="C19" s="390" t="inlineStr">
        <is>
          <t>Inherente</t>
        </is>
      </c>
      <c r="D19" s="391" t="inlineStr">
        <is>
          <t>Fecha de nacimiento o de constitución</t>
        </is>
      </c>
      <c r="E19" s="362" t="inlineStr">
        <is>
          <t>Persona moral constituida hace menos de 2 años</t>
        </is>
      </c>
      <c r="F19" s="361" t="n">
        <v>5</v>
      </c>
      <c r="G19" s="367" t="inlineStr">
        <is>
          <t>A3 a) ii) · A4 a) ii)</t>
        </is>
      </c>
      <c r="H19" s="392">
        <f>'VARIABLES'!$B19&amp;"|"&amp;'VARIABLES'!$E19</f>
        <v/>
      </c>
    </row>
    <row r="20">
      <c r="B20" s="389" t="inlineStr">
        <is>
          <t>F02</t>
        </is>
      </c>
      <c r="C20" s="390" t="inlineStr">
        <is>
          <t>Inherente</t>
        </is>
      </c>
      <c r="D20" s="391" t="inlineStr">
        <is>
          <t>Fecha de nacimiento o de constitución</t>
        </is>
      </c>
      <c r="E20" s="362" t="inlineStr">
        <is>
          <t>No determinado</t>
        </is>
      </c>
      <c r="F20" s="361" t="n">
        <v>5</v>
      </c>
      <c r="G20" s="367" t="inlineStr">
        <is>
          <t>A3 a) ii) · A4 a) ii)</t>
        </is>
      </c>
      <c r="H20" s="392">
        <f>'VARIABLES'!$B20&amp;"|"&amp;'VARIABLES'!$E20</f>
        <v/>
      </c>
    </row>
    <row r="21">
      <c r="B21" s="389" t="inlineStr">
        <is>
          <t>F03</t>
        </is>
      </c>
      <c r="C21" s="390" t="inlineStr">
        <is>
          <t>Inherente</t>
        </is>
      </c>
      <c r="D21" s="391" t="inlineStr">
        <is>
          <t>Actividad, ocupación, profesión o giro</t>
        </is>
      </c>
      <c r="E21" s="362" t="inlineStr">
        <is>
          <t>Empleo asalariado o pensionado</t>
        </is>
      </c>
      <c r="F21" s="361" t="n">
        <v>1</v>
      </c>
      <c r="G21" s="367" t="inlineStr">
        <is>
          <t>A3 a) v) · A4 a) iv)</t>
        </is>
      </c>
      <c r="H21" s="392">
        <f>'VARIABLES'!$B21&amp;"|"&amp;'VARIABLES'!$E21</f>
        <v/>
      </c>
    </row>
    <row r="22">
      <c r="B22" s="389" t="inlineStr">
        <is>
          <t>F03</t>
        </is>
      </c>
      <c r="C22" s="390" t="inlineStr">
        <is>
          <t>Inherente</t>
        </is>
      </c>
      <c r="D22" s="391" t="inlineStr">
        <is>
          <t>Actividad, ocupación, profesión o giro</t>
        </is>
      </c>
      <c r="E22" s="362" t="inlineStr">
        <is>
          <t>Comercio al menudeo formal</t>
        </is>
      </c>
      <c r="F22" s="361" t="n">
        <v>1</v>
      </c>
      <c r="G22" s="367" t="inlineStr">
        <is>
          <t>A3 a) v) · A4 a) iv)</t>
        </is>
      </c>
      <c r="H22" s="392">
        <f>'VARIABLES'!$B22&amp;"|"&amp;'VARIABLES'!$E22</f>
        <v/>
      </c>
    </row>
    <row r="23">
      <c r="B23" s="389" t="inlineStr">
        <is>
          <t>F03</t>
        </is>
      </c>
      <c r="C23" s="390" t="inlineStr">
        <is>
          <t>Inherente</t>
        </is>
      </c>
      <c r="D23" s="391" t="inlineStr">
        <is>
          <t>Actividad, ocupación, profesión o giro</t>
        </is>
      </c>
      <c r="E23" s="362" t="inlineStr">
        <is>
          <t>Servicios profesionales</t>
        </is>
      </c>
      <c r="F23" s="361" t="n">
        <v>3</v>
      </c>
      <c r="G23" s="367" t="inlineStr">
        <is>
          <t>A3 a) v) · A4 a) iv)</t>
        </is>
      </c>
      <c r="H23" s="392">
        <f>'VARIABLES'!$B23&amp;"|"&amp;'VARIABLES'!$E23</f>
        <v/>
      </c>
    </row>
    <row r="24">
      <c r="B24" s="389" t="inlineStr">
        <is>
          <t>F03</t>
        </is>
      </c>
      <c r="C24" s="390" t="inlineStr">
        <is>
          <t>Inherente</t>
        </is>
      </c>
      <c r="D24" s="391" t="inlineStr">
        <is>
          <t>Actividad, ocupación, profesión o giro</t>
        </is>
      </c>
      <c r="E24" s="362" t="inlineStr">
        <is>
          <t>Construcción o desarrollo inmobiliario</t>
        </is>
      </c>
      <c r="F24" s="361" t="n">
        <v>3</v>
      </c>
      <c r="G24" s="367" t="inlineStr">
        <is>
          <t>A3 a) v) · A4 a) iv)</t>
        </is>
      </c>
      <c r="H24" s="392">
        <f>'VARIABLES'!$B24&amp;"|"&amp;'VARIABLES'!$E24</f>
        <v/>
      </c>
    </row>
    <row r="25">
      <c r="B25" s="389" t="inlineStr">
        <is>
          <t>F03</t>
        </is>
      </c>
      <c r="C25" s="390" t="inlineStr">
        <is>
          <t>Inherente</t>
        </is>
      </c>
      <c r="D25" s="391" t="inlineStr">
        <is>
          <t>Actividad, ocupación, profesión o giro</t>
        </is>
      </c>
      <c r="E25" s="362" t="inlineStr">
        <is>
          <t>Actividad con manejo intensivo de efectivo</t>
        </is>
      </c>
      <c r="F25" s="361" t="n">
        <v>5</v>
      </c>
      <c r="G25" s="367" t="inlineStr">
        <is>
          <t>A3 a) v) · A4 a) iv)</t>
        </is>
      </c>
      <c r="H25" s="392">
        <f>'VARIABLES'!$B25&amp;"|"&amp;'VARIABLES'!$E25</f>
        <v/>
      </c>
    </row>
    <row r="26">
      <c r="B26" s="389" t="inlineStr">
        <is>
          <t>F03</t>
        </is>
      </c>
      <c r="C26" s="390" t="inlineStr">
        <is>
          <t>Inherente</t>
        </is>
      </c>
      <c r="D26" s="391" t="inlineStr">
        <is>
          <t>Actividad, ocupación, profesión o giro</t>
        </is>
      </c>
      <c r="E26" s="362" t="inlineStr">
        <is>
          <t>Comercio de metales, joyería o arte</t>
        </is>
      </c>
      <c r="F26" s="361" t="n">
        <v>5</v>
      </c>
      <c r="G26" s="367" t="inlineStr">
        <is>
          <t>A3 a) v) · A4 a) iv)</t>
        </is>
      </c>
      <c r="H26" s="392">
        <f>'VARIABLES'!$B26&amp;"|"&amp;'VARIABLES'!$E26</f>
        <v/>
      </c>
    </row>
    <row r="27">
      <c r="B27" s="389" t="inlineStr">
        <is>
          <t>F03</t>
        </is>
      </c>
      <c r="C27" s="390" t="inlineStr">
        <is>
          <t>Inherente</t>
        </is>
      </c>
      <c r="D27" s="391" t="inlineStr">
        <is>
          <t>Actividad, ocupación, profesión o giro</t>
        </is>
      </c>
      <c r="E27" s="362" t="inlineStr">
        <is>
          <t>Fedatario público, abogado o contador que administra recursos de terceros</t>
        </is>
      </c>
      <c r="F27" s="361" t="n">
        <v>5</v>
      </c>
      <c r="G27" s="367" t="inlineStr">
        <is>
          <t>A3 a) v) · A4 a) iv)</t>
        </is>
      </c>
      <c r="H27" s="392">
        <f>'VARIABLES'!$B27&amp;"|"&amp;'VARIABLES'!$E27</f>
        <v/>
      </c>
    </row>
    <row r="28">
      <c r="B28" s="389" t="inlineStr">
        <is>
          <t>F03</t>
        </is>
      </c>
      <c r="C28" s="390" t="inlineStr">
        <is>
          <t>Inherente</t>
        </is>
      </c>
      <c r="D28" s="391" t="inlineStr">
        <is>
          <t>Actividad, ocupación, profesión o giro</t>
        </is>
      </c>
      <c r="E28" s="362" t="inlineStr">
        <is>
          <t>Actividad no acreditada o no determinada</t>
        </is>
      </c>
      <c r="F28" s="361" t="n">
        <v>5</v>
      </c>
      <c r="G28" s="367" t="inlineStr">
        <is>
          <t>A3 a) v) · A4 a) iv)</t>
        </is>
      </c>
      <c r="H28" s="392">
        <f>'VARIABLES'!$B28&amp;"|"&amp;'VARIABLES'!$E28</f>
        <v/>
      </c>
    </row>
    <row r="29">
      <c r="B29" s="389" t="inlineStr">
        <is>
          <t>F04</t>
        </is>
      </c>
      <c r="C29" s="390" t="inlineStr">
        <is>
          <t>Inherente</t>
        </is>
      </c>
      <c r="D29" s="391" t="inlineStr">
        <is>
          <t>País de nacionalidad</t>
        </is>
      </c>
      <c r="E29" s="362" t="inlineStr">
        <is>
          <t>Mexicana</t>
        </is>
      </c>
      <c r="F29" s="361" t="n">
        <v>1</v>
      </c>
      <c r="G29" s="367" t="inlineStr">
        <is>
          <t>A3 a) iv) · A4 a) iii)</t>
        </is>
      </c>
      <c r="H29" s="392">
        <f>'VARIABLES'!$B29&amp;"|"&amp;'VARIABLES'!$E29</f>
        <v/>
      </c>
    </row>
    <row r="30">
      <c r="B30" s="389" t="inlineStr">
        <is>
          <t>F04</t>
        </is>
      </c>
      <c r="C30" s="390" t="inlineStr">
        <is>
          <t>Inherente</t>
        </is>
      </c>
      <c r="D30" s="391" t="inlineStr">
        <is>
          <t>País de nacionalidad</t>
        </is>
      </c>
      <c r="E30" s="362" t="inlineStr">
        <is>
          <t>Extranjera de país sin señalamiento</t>
        </is>
      </c>
      <c r="F30" s="361" t="n">
        <v>3</v>
      </c>
      <c r="G30" s="367" t="inlineStr">
        <is>
          <t>A3 a) iv) · A4 a) iii)</t>
        </is>
      </c>
      <c r="H30" s="392">
        <f>'VARIABLES'!$B30&amp;"|"&amp;'VARIABLES'!$E30</f>
        <v/>
      </c>
    </row>
    <row r="31">
      <c r="B31" s="389" t="inlineStr">
        <is>
          <t>F04</t>
        </is>
      </c>
      <c r="C31" s="390" t="inlineStr">
        <is>
          <t>Inherente</t>
        </is>
      </c>
      <c r="D31" s="391" t="inlineStr">
        <is>
          <t>País de nacionalidad</t>
        </is>
      </c>
      <c r="E31" s="362" t="inlineStr">
        <is>
          <t>Extranjera de país o jurisdicción señalada por la UIF</t>
        </is>
      </c>
      <c r="F31" s="361" t="n">
        <v>5</v>
      </c>
      <c r="G31" s="367" t="inlineStr">
        <is>
          <t>A3 a) iv) · A4 a) iii)</t>
        </is>
      </c>
      <c r="H31" s="392">
        <f>'VARIABLES'!$B31&amp;"|"&amp;'VARIABLES'!$E31</f>
        <v/>
      </c>
    </row>
    <row r="32">
      <c r="B32" s="389" t="inlineStr">
        <is>
          <t>F04</t>
        </is>
      </c>
      <c r="C32" s="390" t="inlineStr">
        <is>
          <t>Inherente</t>
        </is>
      </c>
      <c r="D32" s="391" t="inlineStr">
        <is>
          <t>País de nacionalidad</t>
        </is>
      </c>
      <c r="E32" s="362" t="inlineStr">
        <is>
          <t>No determinada</t>
        </is>
      </c>
      <c r="F32" s="361" t="n">
        <v>5</v>
      </c>
      <c r="G32" s="367" t="inlineStr">
        <is>
          <t>A3 a) iv) · A4 a) iii)</t>
        </is>
      </c>
      <c r="H32" s="392">
        <f>'VARIABLES'!$B32&amp;"|"&amp;'VARIABLES'!$E32</f>
        <v/>
      </c>
    </row>
    <row r="33">
      <c r="B33" s="389" t="inlineStr">
        <is>
          <t>F05</t>
        </is>
      </c>
      <c r="C33" s="390" t="inlineStr">
        <is>
          <t>Inherente</t>
        </is>
      </c>
      <c r="D33" s="391" t="inlineStr">
        <is>
          <t>Domicilio: país y estado de residencia</t>
        </is>
      </c>
      <c r="E33" s="362" t="inlineStr">
        <is>
          <t>Residente en México, entidad federativa sin señalamiento</t>
        </is>
      </c>
      <c r="F33" s="361" t="n">
        <v>1</v>
      </c>
      <c r="G33" s="367" t="inlineStr">
        <is>
          <t>A3 a) vi) · A4 a) v)</t>
        </is>
      </c>
      <c r="H33" s="392">
        <f>'VARIABLES'!$B33&amp;"|"&amp;'VARIABLES'!$E33</f>
        <v/>
      </c>
    </row>
    <row r="34">
      <c r="B34" s="389" t="inlineStr">
        <is>
          <t>F05</t>
        </is>
      </c>
      <c r="C34" s="390" t="inlineStr">
        <is>
          <t>Inherente</t>
        </is>
      </c>
      <c r="D34" s="391" t="inlineStr">
        <is>
          <t>Domicilio: país y estado de residencia</t>
        </is>
      </c>
      <c r="E34" s="362" t="inlineStr">
        <is>
          <t>Residente en México, entidad federativa señalada en la ENR</t>
        </is>
      </c>
      <c r="F34" s="361" t="n">
        <v>3</v>
      </c>
      <c r="G34" s="367" t="inlineStr">
        <is>
          <t>A3 a) vi) · A4 a) v)</t>
        </is>
      </c>
      <c r="H34" s="392">
        <f>'VARIABLES'!$B34&amp;"|"&amp;'VARIABLES'!$E34</f>
        <v/>
      </c>
    </row>
    <row r="35">
      <c r="B35" s="389" t="inlineStr">
        <is>
          <t>F05</t>
        </is>
      </c>
      <c r="C35" s="390" t="inlineStr">
        <is>
          <t>Inherente</t>
        </is>
      </c>
      <c r="D35" s="391" t="inlineStr">
        <is>
          <t>Domicilio: país y estado de residencia</t>
        </is>
      </c>
      <c r="E35" s="362" t="inlineStr">
        <is>
          <t>Residente en el extranjero, país sin señalamiento</t>
        </is>
      </c>
      <c r="F35" s="361" t="n">
        <v>3</v>
      </c>
      <c r="G35" s="367" t="inlineStr">
        <is>
          <t>A3 a) vi) · A4 a) v)</t>
        </is>
      </c>
      <c r="H35" s="392">
        <f>'VARIABLES'!$B35&amp;"|"&amp;'VARIABLES'!$E35</f>
        <v/>
      </c>
    </row>
    <row r="36">
      <c r="B36" s="389" t="inlineStr">
        <is>
          <t>F05</t>
        </is>
      </c>
      <c r="C36" s="390" t="inlineStr">
        <is>
          <t>Inherente</t>
        </is>
      </c>
      <c r="D36" s="391" t="inlineStr">
        <is>
          <t>Domicilio: país y estado de residencia</t>
        </is>
      </c>
      <c r="E36" s="362" t="inlineStr">
        <is>
          <t>Residente en el extranjero, jurisdicción de régimen fiscal preferente o deficiente</t>
        </is>
      </c>
      <c r="F36" s="361" t="n">
        <v>5</v>
      </c>
      <c r="G36" s="367" t="inlineStr">
        <is>
          <t>A3 a) vi) · A4 a) v)</t>
        </is>
      </c>
      <c r="H36" s="392">
        <f>'VARIABLES'!$B36&amp;"|"&amp;'VARIABLES'!$E36</f>
        <v/>
      </c>
    </row>
    <row r="37">
      <c r="B37" s="389" t="inlineStr">
        <is>
          <t>F05</t>
        </is>
      </c>
      <c r="C37" s="390" t="inlineStr">
        <is>
          <t>Inherente</t>
        </is>
      </c>
      <c r="D37" s="391" t="inlineStr">
        <is>
          <t>Domicilio: país y estado de residencia</t>
        </is>
      </c>
      <c r="E37" s="362" t="inlineStr">
        <is>
          <t>No determinado</t>
        </is>
      </c>
      <c r="F37" s="361" t="n">
        <v>5</v>
      </c>
      <c r="G37" s="367" t="inlineStr">
        <is>
          <t>A3 a) vi) · A4 a) v)</t>
        </is>
      </c>
      <c r="H37" s="392">
        <f>'VARIABLES'!$B37&amp;"|"&amp;'VARIABLES'!$E37</f>
        <v/>
      </c>
    </row>
    <row r="38">
      <c r="B38" s="389" t="inlineStr">
        <is>
          <t>F06</t>
        </is>
      </c>
      <c r="C38" s="390" t="inlineStr">
        <is>
          <t>Inherente</t>
        </is>
      </c>
      <c r="D38" s="391" t="inlineStr">
        <is>
          <t>Condición de Persona Políticamente Expuesta</t>
        </is>
      </c>
      <c r="E38" s="362" t="inlineStr">
        <is>
          <t>No es Persona Políticamente Expuesta</t>
        </is>
      </c>
      <c r="F38" s="361" t="n">
        <v>1</v>
      </c>
      <c r="G38" s="367" t="inlineStr">
        <is>
          <t>Anexo 10 · RCG 23 Bis 3 y 23 Bis 4</t>
        </is>
      </c>
      <c r="H38" s="392">
        <f>'VARIABLES'!$B38&amp;"|"&amp;'VARIABLES'!$E38</f>
        <v/>
      </c>
    </row>
    <row r="39">
      <c r="B39" s="389" t="inlineStr">
        <is>
          <t>F06</t>
        </is>
      </c>
      <c r="C39" s="390" t="inlineStr">
        <is>
          <t>Inherente</t>
        </is>
      </c>
      <c r="D39" s="391" t="inlineStr">
        <is>
          <t>Condición de Persona Políticamente Expuesta</t>
        </is>
      </c>
      <c r="E39" s="362" t="inlineStr">
        <is>
          <t>PEP nacional, comportamiento congruente con ingresos y funciones</t>
        </is>
      </c>
      <c r="F39" s="361" t="n">
        <v>3</v>
      </c>
      <c r="G39" s="367" t="inlineStr">
        <is>
          <t>Anexo 10 · RCG 23 Bis 3 y 23 Bis 4</t>
        </is>
      </c>
      <c r="H39" s="392">
        <f>'VARIABLES'!$B39&amp;"|"&amp;'VARIABLES'!$E39</f>
        <v/>
      </c>
    </row>
    <row r="40">
      <c r="B40" s="389" t="inlineStr">
        <is>
          <t>F06</t>
        </is>
      </c>
      <c r="C40" s="390" t="inlineStr">
        <is>
          <t>Inherente</t>
        </is>
      </c>
      <c r="D40" s="391" t="inlineStr">
        <is>
          <t>Condición de Persona Políticamente Expuesta</t>
        </is>
      </c>
      <c r="E40" s="362" t="inlineStr">
        <is>
          <t>PEP nacional, comportamiento no congruente o no verificado</t>
        </is>
      </c>
      <c r="F40" s="361" t="n">
        <v>5</v>
      </c>
      <c r="G40" s="367" t="inlineStr">
        <is>
          <t>Anexo 10 · RCG 23 Bis 3 y 23 Bis 4</t>
        </is>
      </c>
      <c r="H40" s="392">
        <f>'VARIABLES'!$B40&amp;"|"&amp;'VARIABLES'!$E40</f>
        <v/>
      </c>
    </row>
    <row r="41">
      <c r="B41" s="389" t="inlineStr">
        <is>
          <t>F06</t>
        </is>
      </c>
      <c r="C41" s="390" t="inlineStr">
        <is>
          <t>Inherente</t>
        </is>
      </c>
      <c r="D41" s="391" t="inlineStr">
        <is>
          <t>Condición de Persona Políticamente Expuesta</t>
        </is>
      </c>
      <c r="E41" s="362" t="inlineStr">
        <is>
          <t>PEP extranjera</t>
        </is>
      </c>
      <c r="F41" s="361" t="n">
        <v>5</v>
      </c>
      <c r="G41" s="367" t="inlineStr">
        <is>
          <t>Anexo 10 · RCG 23 Bis 3 y 23 Bis 4</t>
        </is>
      </c>
      <c r="H41" s="392">
        <f>'VARIABLES'!$B41&amp;"|"&amp;'VARIABLES'!$E41</f>
        <v/>
      </c>
    </row>
    <row r="42">
      <c r="B42" s="389" t="inlineStr">
        <is>
          <t>F06</t>
        </is>
      </c>
      <c r="C42" s="390" t="inlineStr">
        <is>
          <t>Inherente</t>
        </is>
      </c>
      <c r="D42" s="391" t="inlineStr">
        <is>
          <t>Condición de Persona Políticamente Expuesta</t>
        </is>
      </c>
      <c r="E42" s="362" t="inlineStr">
        <is>
          <t>Familiar o allegado de PEP</t>
        </is>
      </c>
      <c r="F42" s="361" t="n">
        <v>3</v>
      </c>
      <c r="G42" s="367" t="inlineStr">
        <is>
          <t>Anexo 10 · RCG 23 Bis 3 y 23 Bis 4</t>
        </is>
      </c>
      <c r="H42" s="392">
        <f>'VARIABLES'!$B42&amp;"|"&amp;'VARIABLES'!$E42</f>
        <v/>
      </c>
    </row>
    <row r="43">
      <c r="B43" s="389" t="inlineStr">
        <is>
          <t>F06</t>
        </is>
      </c>
      <c r="C43" s="390" t="inlineStr">
        <is>
          <t>Inherente</t>
        </is>
      </c>
      <c r="D43" s="391" t="inlineStr">
        <is>
          <t>Condición de Persona Políticamente Expuesta</t>
        </is>
      </c>
      <c r="E43" s="362" t="inlineStr">
        <is>
          <t>No determinado</t>
        </is>
      </c>
      <c r="F43" s="361" t="n">
        <v>5</v>
      </c>
      <c r="G43" s="367" t="inlineStr">
        <is>
          <t>Anexo 10 · RCG 23 Bis 3 y 23 Bis 4</t>
        </is>
      </c>
      <c r="H43" s="392">
        <f>'VARIABLES'!$B43&amp;"|"&amp;'VARIABLES'!$E43</f>
        <v/>
      </c>
    </row>
    <row r="44">
      <c r="B44" s="389" t="inlineStr">
        <is>
          <t>F07</t>
        </is>
      </c>
      <c r="C44" s="390" t="inlineStr">
        <is>
          <t>Inherente</t>
        </is>
      </c>
      <c r="D44" s="391" t="inlineStr">
        <is>
          <t>Coincidencia en listas de personas bloqueadas</t>
        </is>
      </c>
      <c r="E44" s="362" t="inlineStr">
        <is>
          <t>Sin coincidencia, búsqueda documentada en la operación</t>
        </is>
      </c>
      <c r="F44" s="361" t="n">
        <v>1</v>
      </c>
      <c r="G44" s="367" t="inlineStr">
        <is>
          <t>RCG 38 · RCG 41 fr. V</t>
        </is>
      </c>
      <c r="H44" s="392">
        <f>'VARIABLES'!$B44&amp;"|"&amp;'VARIABLES'!$E44</f>
        <v/>
      </c>
    </row>
    <row r="45">
      <c r="B45" s="389" t="inlineStr">
        <is>
          <t>F07</t>
        </is>
      </c>
      <c r="C45" s="390" t="inlineStr">
        <is>
          <t>Inherente</t>
        </is>
      </c>
      <c r="D45" s="391" t="inlineStr">
        <is>
          <t>Coincidencia en listas de personas bloqueadas</t>
        </is>
      </c>
      <c r="E45" s="362" t="inlineStr">
        <is>
          <t>Coincidencia descartada con constancia (homonimia acreditada)</t>
        </is>
      </c>
      <c r="F45" s="361" t="n">
        <v>3</v>
      </c>
      <c r="G45" s="367" t="inlineStr">
        <is>
          <t>RCG 38 · RCG 41 fr. V</t>
        </is>
      </c>
      <c r="H45" s="392">
        <f>'VARIABLES'!$B45&amp;"|"&amp;'VARIABLES'!$E45</f>
        <v/>
      </c>
    </row>
    <row r="46">
      <c r="B46" s="389" t="inlineStr">
        <is>
          <t>F07</t>
        </is>
      </c>
      <c r="C46" s="390" t="inlineStr">
        <is>
          <t>Inherente</t>
        </is>
      </c>
      <c r="D46" s="391" t="inlineStr">
        <is>
          <t>Coincidencia en listas de personas bloqueadas</t>
        </is>
      </c>
      <c r="E46" s="362" t="inlineStr">
        <is>
          <t>Coincidencia positiva en lista de personas bloqueadas o de sanciones</t>
        </is>
      </c>
      <c r="F46" s="361" t="n">
        <v>5</v>
      </c>
      <c r="G46" s="367" t="inlineStr">
        <is>
          <t>RCG 38 · RCG 41 fr. V</t>
        </is>
      </c>
      <c r="H46" s="392">
        <f>'VARIABLES'!$B46&amp;"|"&amp;'VARIABLES'!$E46</f>
        <v/>
      </c>
    </row>
    <row r="47">
      <c r="B47" s="389" t="inlineStr">
        <is>
          <t>F07</t>
        </is>
      </c>
      <c r="C47" s="390" t="inlineStr">
        <is>
          <t>Inherente</t>
        </is>
      </c>
      <c r="D47" s="391" t="inlineStr">
        <is>
          <t>Coincidencia en listas de personas bloqueadas</t>
        </is>
      </c>
      <c r="E47" s="362" t="inlineStr">
        <is>
          <t>Búsqueda no realizada o sin constancia</t>
        </is>
      </c>
      <c r="F47" s="361" t="n">
        <v>5</v>
      </c>
      <c r="G47" s="367" t="inlineStr">
        <is>
          <t>RCG 38 · RCG 41 fr. V</t>
        </is>
      </c>
      <c r="H47" s="392">
        <f>'VARIABLES'!$B47&amp;"|"&amp;'VARIABLES'!$E47</f>
        <v/>
      </c>
    </row>
    <row r="48">
      <c r="B48" s="389" t="inlineStr">
        <is>
          <t>F08</t>
        </is>
      </c>
      <c r="C48" s="390" t="inlineStr">
        <is>
          <t>Inherente</t>
        </is>
      </c>
      <c r="D48" s="391" t="inlineStr">
        <is>
          <t>Beneficiario Controlador</t>
        </is>
      </c>
      <c r="E48" s="362" t="inlineStr">
        <is>
          <t>No aplica: persona física que actúa por cuenta propia</t>
        </is>
      </c>
      <c r="F48" s="361" t="n">
        <v>1</v>
      </c>
      <c r="G48" s="367" t="inlineStr">
        <is>
          <t>A3 b) iv) · A4 b) v) · A8 b) iv)</t>
        </is>
      </c>
      <c r="H48" s="392">
        <f>'VARIABLES'!$B48&amp;"|"&amp;'VARIABLES'!$E48</f>
        <v/>
      </c>
    </row>
    <row r="49">
      <c r="B49" s="389" t="inlineStr">
        <is>
          <t>F08</t>
        </is>
      </c>
      <c r="C49" s="390" t="inlineStr">
        <is>
          <t>Inherente</t>
        </is>
      </c>
      <c r="D49" s="391" t="inlineStr">
        <is>
          <t>Beneficiario Controlador</t>
        </is>
      </c>
      <c r="E49" s="362" t="inlineStr">
        <is>
          <t>Beneficiario Controlador identificado, cadena de un nivel</t>
        </is>
      </c>
      <c r="F49" s="361" t="n">
        <v>1</v>
      </c>
      <c r="G49" s="367" t="inlineStr">
        <is>
          <t>A3 b) iv) · A4 b) v) · A8 b) iv)</t>
        </is>
      </c>
      <c r="H49" s="392">
        <f>'VARIABLES'!$B49&amp;"|"&amp;'VARIABLES'!$E49</f>
        <v/>
      </c>
    </row>
    <row r="50">
      <c r="B50" s="389" t="inlineStr">
        <is>
          <t>F08</t>
        </is>
      </c>
      <c r="C50" s="390" t="inlineStr">
        <is>
          <t>Inherente</t>
        </is>
      </c>
      <c r="D50" s="391" t="inlineStr">
        <is>
          <t>Beneficiario Controlador</t>
        </is>
      </c>
      <c r="E50" s="362" t="inlineStr">
        <is>
          <t>Beneficiario Controlador identificado, cadena de dos o más niveles</t>
        </is>
      </c>
      <c r="F50" s="361" t="n">
        <v>3</v>
      </c>
      <c r="G50" s="367" t="inlineStr">
        <is>
          <t>A3 b) iv) · A4 b) v) · A8 b) iv)</t>
        </is>
      </c>
      <c r="H50" s="392">
        <f>'VARIABLES'!$B50&amp;"|"&amp;'VARIABLES'!$E50</f>
        <v/>
      </c>
    </row>
    <row r="51">
      <c r="B51" s="389" t="inlineStr">
        <is>
          <t>F08</t>
        </is>
      </c>
      <c r="C51" s="390" t="inlineStr">
        <is>
          <t>Inherente</t>
        </is>
      </c>
      <c r="D51" s="391" t="inlineStr">
        <is>
          <t>Beneficiario Controlador</t>
        </is>
      </c>
      <c r="E51" s="362" t="inlineStr">
        <is>
          <t>Se declara no tener conocimiento de Beneficiario Controlador</t>
        </is>
      </c>
      <c r="F51" s="361" t="n">
        <v>5</v>
      </c>
      <c r="G51" s="367" t="inlineStr">
        <is>
          <t>A3 b) iv) · A4 b) v) · A8 b) iv)</t>
        </is>
      </c>
      <c r="H51" s="392">
        <f>'VARIABLES'!$B51&amp;"|"&amp;'VARIABLES'!$E51</f>
        <v/>
      </c>
    </row>
    <row r="52">
      <c r="B52" s="389" t="inlineStr">
        <is>
          <t>F08</t>
        </is>
      </c>
      <c r="C52" s="390" t="inlineStr">
        <is>
          <t>Inherente</t>
        </is>
      </c>
      <c r="D52" s="391" t="inlineStr">
        <is>
          <t>Beneficiario Controlador</t>
        </is>
      </c>
      <c r="E52" s="362" t="inlineStr">
        <is>
          <t>Beneficiario Controlador no identificado o cadena no acreditable</t>
        </is>
      </c>
      <c r="F52" s="361" t="n">
        <v>5</v>
      </c>
      <c r="G52" s="367" t="inlineStr">
        <is>
          <t>A3 b) iv) · A4 b) v) · A8 b) iv)</t>
        </is>
      </c>
      <c r="H52" s="392">
        <f>'VARIABLES'!$B52&amp;"|"&amp;'VARIABLES'!$E52</f>
        <v/>
      </c>
    </row>
    <row r="53">
      <c r="B53" s="389" t="inlineStr">
        <is>
          <t>F09</t>
        </is>
      </c>
      <c r="C53" s="390" t="inlineStr">
        <is>
          <t>Inherente</t>
        </is>
      </c>
      <c r="D53" s="391" t="inlineStr">
        <is>
          <t>Fuente de los ingresos</t>
        </is>
      </c>
      <c r="E53" s="362" t="inlineStr">
        <is>
          <t>Sueldos o actividad empresarial acreditada documentalmente</t>
        </is>
      </c>
      <c r="F53" s="361" t="n">
        <v>1</v>
      </c>
      <c r="G53" s="367" t="inlineStr">
        <is>
          <t>A3 a) v) · declarada por el Cliente</t>
        </is>
      </c>
      <c r="H53" s="392">
        <f>'VARIABLES'!$B53&amp;"|"&amp;'VARIABLES'!$E53</f>
        <v/>
      </c>
    </row>
    <row r="54">
      <c r="B54" s="389" t="inlineStr">
        <is>
          <t>F09</t>
        </is>
      </c>
      <c r="C54" s="390" t="inlineStr">
        <is>
          <t>Inherente</t>
        </is>
      </c>
      <c r="D54" s="391" t="inlineStr">
        <is>
          <t>Fuente de los ingresos</t>
        </is>
      </c>
      <c r="E54" s="362" t="inlineStr">
        <is>
          <t>Ingresos acreditados parcialmente</t>
        </is>
      </c>
      <c r="F54" s="361" t="n">
        <v>3</v>
      </c>
      <c r="G54" s="367" t="inlineStr">
        <is>
          <t>A3 a) v) · declarada por el Cliente</t>
        </is>
      </c>
      <c r="H54" s="392">
        <f>'VARIABLES'!$B54&amp;"|"&amp;'VARIABLES'!$E54</f>
        <v/>
      </c>
    </row>
    <row r="55">
      <c r="B55" s="389" t="inlineStr">
        <is>
          <t>F09</t>
        </is>
      </c>
      <c r="C55" s="390" t="inlineStr">
        <is>
          <t>Inherente</t>
        </is>
      </c>
      <c r="D55" s="391" t="inlineStr">
        <is>
          <t>Fuente de los ingresos</t>
        </is>
      </c>
      <c r="E55" s="362" t="inlineStr">
        <is>
          <t>Ingresos declarados sin soporte documental</t>
        </is>
      </c>
      <c r="F55" s="361" t="n">
        <v>5</v>
      </c>
      <c r="G55" s="367" t="inlineStr">
        <is>
          <t>A3 a) v) · declarada por el Cliente</t>
        </is>
      </c>
      <c r="H55" s="392">
        <f>'VARIABLES'!$B55&amp;"|"&amp;'VARIABLES'!$E55</f>
        <v/>
      </c>
    </row>
    <row r="56">
      <c r="B56" s="389" t="inlineStr">
        <is>
          <t>F09</t>
        </is>
      </c>
      <c r="C56" s="390" t="inlineStr">
        <is>
          <t>Inherente</t>
        </is>
      </c>
      <c r="D56" s="391" t="inlineStr">
        <is>
          <t>Fuente de los ingresos</t>
        </is>
      </c>
      <c r="E56" s="362" t="inlineStr">
        <is>
          <t>Fuente de ingresos no manifestada</t>
        </is>
      </c>
      <c r="F56" s="361" t="n">
        <v>5</v>
      </c>
      <c r="G56" s="367" t="inlineStr">
        <is>
          <t>A3 a) v) · declarada por el Cliente</t>
        </is>
      </c>
      <c r="H56" s="392">
        <f>'VARIABLES'!$B56&amp;"|"&amp;'VARIABLES'!$E56</f>
        <v/>
      </c>
    </row>
    <row r="57">
      <c r="B57" s="389" t="inlineStr">
        <is>
          <t>F10</t>
        </is>
      </c>
      <c r="C57" s="390" t="inlineStr">
        <is>
          <t>Inherente</t>
        </is>
      </c>
      <c r="D57" s="391" t="inlineStr">
        <is>
          <t>Naturaleza y propósito de la relación</t>
        </is>
      </c>
      <c r="E57" s="362" t="inlineStr">
        <is>
          <t>Relación de Negocios de largo plazo, propósito claro y documentado</t>
        </is>
      </c>
      <c r="F57" s="361" t="n">
        <v>1</v>
      </c>
      <c r="G57" s="367" t="inlineStr">
        <is>
          <t>Perfil transaccional · RCG 23 Ter 1</t>
        </is>
      </c>
      <c r="H57" s="392">
        <f>'VARIABLES'!$B57&amp;"|"&amp;'VARIABLES'!$E57</f>
        <v/>
      </c>
    </row>
    <row r="58">
      <c r="B58" s="389" t="inlineStr">
        <is>
          <t>F10</t>
        </is>
      </c>
      <c r="C58" s="390" t="inlineStr">
        <is>
          <t>Inherente</t>
        </is>
      </c>
      <c r="D58" s="391" t="inlineStr">
        <is>
          <t>Naturaleza y propósito de la relación</t>
        </is>
      </c>
      <c r="E58" s="362" t="inlineStr">
        <is>
          <t>Cliente ocasional, un solo acto u operación</t>
        </is>
      </c>
      <c r="F58" s="361" t="n">
        <v>3</v>
      </c>
      <c r="G58" s="367" t="inlineStr">
        <is>
          <t>Perfil transaccional · RCG 23 Ter 1</t>
        </is>
      </c>
      <c r="H58" s="392">
        <f>'VARIABLES'!$B58&amp;"|"&amp;'VARIABLES'!$E58</f>
        <v/>
      </c>
    </row>
    <row r="59">
      <c r="B59" s="389" t="inlineStr">
        <is>
          <t>F10</t>
        </is>
      </c>
      <c r="C59" s="390" t="inlineStr">
        <is>
          <t>Inherente</t>
        </is>
      </c>
      <c r="D59" s="391" t="inlineStr">
        <is>
          <t>Naturaleza y propósito de la relación</t>
        </is>
      </c>
      <c r="E59" s="362" t="inlineStr">
        <is>
          <t>Propósito declarado que no corresponde con el perfil del Cliente</t>
        </is>
      </c>
      <c r="F59" s="361" t="n">
        <v>5</v>
      </c>
      <c r="G59" s="367" t="inlineStr">
        <is>
          <t>Perfil transaccional · RCG 23 Ter 1</t>
        </is>
      </c>
      <c r="H59" s="392">
        <f>'VARIABLES'!$B59&amp;"|"&amp;'VARIABLES'!$E59</f>
        <v/>
      </c>
    </row>
    <row r="60">
      <c r="B60" s="389" t="inlineStr">
        <is>
          <t>F10</t>
        </is>
      </c>
      <c r="C60" s="390" t="inlineStr">
        <is>
          <t>Inherente</t>
        </is>
      </c>
      <c r="D60" s="391" t="inlineStr">
        <is>
          <t>Naturaleza y propósito de la relación</t>
        </is>
      </c>
      <c r="E60" s="362" t="inlineStr">
        <is>
          <t>Propósito no manifestado</t>
        </is>
      </c>
      <c r="F60" s="361" t="n">
        <v>5</v>
      </c>
      <c r="G60" s="367" t="inlineStr">
        <is>
          <t>Perfil transaccional · RCG 23 Ter 1</t>
        </is>
      </c>
      <c r="H60" s="392">
        <f>'VARIABLES'!$B60&amp;"|"&amp;'VARIABLES'!$E60</f>
        <v/>
      </c>
    </row>
    <row r="61">
      <c r="B61" s="389" t="inlineStr">
        <is>
          <t>F12</t>
        </is>
      </c>
      <c r="C61" s="390" t="inlineStr">
        <is>
          <t>Transaccional</t>
        </is>
      </c>
      <c r="D61" s="391" t="inlineStr">
        <is>
          <t>Monto frente al Perfil transaccional y umbrales</t>
        </is>
      </c>
      <c r="E61" s="362" t="inlineStr">
        <is>
          <t>Por debajo del umbral de identificación</t>
        </is>
      </c>
      <c r="F61" s="361" t="n">
        <v>1</v>
      </c>
      <c r="G61" s="367" t="inlineStr">
        <is>
          <t>RCG 23 Ter 1 · L 17</t>
        </is>
      </c>
      <c r="H61" s="392">
        <f>'VARIABLES'!$B61&amp;"|"&amp;'VARIABLES'!$E61</f>
        <v/>
      </c>
    </row>
    <row r="62">
      <c r="B62" s="389" t="inlineStr">
        <is>
          <t>F12</t>
        </is>
      </c>
      <c r="C62" s="390" t="inlineStr">
        <is>
          <t>Transaccional</t>
        </is>
      </c>
      <c r="D62" s="391" t="inlineStr">
        <is>
          <t>Monto frente al Perfil transaccional y umbrales</t>
        </is>
      </c>
      <c r="E62" s="362" t="inlineStr">
        <is>
          <t>Entre el umbral de identificación y el de aviso</t>
        </is>
      </c>
      <c r="F62" s="361" t="n">
        <v>3</v>
      </c>
      <c r="G62" s="367" t="inlineStr">
        <is>
          <t>RCG 23 Ter 1 · L 17</t>
        </is>
      </c>
      <c r="H62" s="392">
        <f>'VARIABLES'!$B62&amp;"|"&amp;'VARIABLES'!$E62</f>
        <v/>
      </c>
    </row>
    <row r="63">
      <c r="B63" s="389" t="inlineStr">
        <is>
          <t>F12</t>
        </is>
      </c>
      <c r="C63" s="390" t="inlineStr">
        <is>
          <t>Transaccional</t>
        </is>
      </c>
      <c r="D63" s="391" t="inlineStr">
        <is>
          <t>Monto frente al Perfil transaccional y umbrales</t>
        </is>
      </c>
      <c r="E63" s="362" t="inlineStr">
        <is>
          <t>Igual o superior al umbral de aviso</t>
        </is>
      </c>
      <c r="F63" s="361" t="n">
        <v>5</v>
      </c>
      <c r="G63" s="367" t="inlineStr">
        <is>
          <t>RCG 23 Ter 1 · L 17</t>
        </is>
      </c>
      <c r="H63" s="392">
        <f>'VARIABLES'!$B63&amp;"|"&amp;'VARIABLES'!$E63</f>
        <v/>
      </c>
    </row>
    <row r="64">
      <c r="B64" s="389" t="inlineStr">
        <is>
          <t>F12</t>
        </is>
      </c>
      <c r="C64" s="390" t="inlineStr">
        <is>
          <t>Transaccional</t>
        </is>
      </c>
      <c r="D64" s="391" t="inlineStr">
        <is>
          <t>Monto frente al Perfil transaccional y umbrales</t>
        </is>
      </c>
      <c r="E64" s="362" t="inlineStr">
        <is>
          <t>Por debajo del umbral pero con acumulación que lo alcanza</t>
        </is>
      </c>
      <c r="F64" s="361" t="n">
        <v>5</v>
      </c>
      <c r="G64" s="367" t="inlineStr">
        <is>
          <t>RCG 23 Ter 1 · L 17</t>
        </is>
      </c>
      <c r="H64" s="392">
        <f>'VARIABLES'!$B64&amp;"|"&amp;'VARIABLES'!$E64</f>
        <v/>
      </c>
    </row>
    <row r="65">
      <c r="B65" s="389" t="inlineStr">
        <is>
          <t>F12</t>
        </is>
      </c>
      <c r="C65" s="390" t="inlineStr">
        <is>
          <t>Transaccional</t>
        </is>
      </c>
      <c r="D65" s="391" t="inlineStr">
        <is>
          <t>Monto frente al Perfil transaccional y umbrales</t>
        </is>
      </c>
      <c r="E65" s="362" t="inlineStr">
        <is>
          <t>Fuera del Perfil transaccional declarado</t>
        </is>
      </c>
      <c r="F65" s="361" t="n">
        <v>5</v>
      </c>
      <c r="G65" s="367" t="inlineStr">
        <is>
          <t>RCG 23 Ter 1 · L 17</t>
        </is>
      </c>
      <c r="H65" s="392">
        <f>'VARIABLES'!$B65&amp;"|"&amp;'VARIABLES'!$E65</f>
        <v/>
      </c>
    </row>
    <row r="66">
      <c r="B66" s="389" t="inlineStr">
        <is>
          <t>F13</t>
        </is>
      </c>
      <c r="C66" s="390" t="inlineStr">
        <is>
          <t>Transaccional</t>
        </is>
      </c>
      <c r="D66" s="391" t="inlineStr">
        <is>
          <t>Frecuencia de las operaciones</t>
        </is>
      </c>
      <c r="E66" s="362" t="inlineStr">
        <is>
          <t>Una operación en el periodo</t>
        </is>
      </c>
      <c r="F66" s="361" t="n">
        <v>1</v>
      </c>
      <c r="G66" s="367" t="inlineStr">
        <is>
          <t>Mecanismo automatizado · RCG 41 fr. II</t>
        </is>
      </c>
      <c r="H66" s="392">
        <f>'VARIABLES'!$B66&amp;"|"&amp;'VARIABLES'!$E66</f>
        <v/>
      </c>
    </row>
    <row r="67">
      <c r="B67" s="389" t="inlineStr">
        <is>
          <t>F13</t>
        </is>
      </c>
      <c r="C67" s="390" t="inlineStr">
        <is>
          <t>Transaccional</t>
        </is>
      </c>
      <c r="D67" s="391" t="inlineStr">
        <is>
          <t>Frecuencia de las operaciones</t>
        </is>
      </c>
      <c r="E67" s="362" t="inlineStr">
        <is>
          <t>De dos a cuatro operaciones al año</t>
        </is>
      </c>
      <c r="F67" s="361" t="n">
        <v>3</v>
      </c>
      <c r="G67" s="367" t="inlineStr">
        <is>
          <t>Mecanismo automatizado · RCG 41 fr. II</t>
        </is>
      </c>
      <c r="H67" s="392">
        <f>'VARIABLES'!$B67&amp;"|"&amp;'VARIABLES'!$E67</f>
        <v/>
      </c>
    </row>
    <row r="68">
      <c r="B68" s="389" t="inlineStr">
        <is>
          <t>F13</t>
        </is>
      </c>
      <c r="C68" s="390" t="inlineStr">
        <is>
          <t>Transaccional</t>
        </is>
      </c>
      <c r="D68" s="391" t="inlineStr">
        <is>
          <t>Frecuencia de las operaciones</t>
        </is>
      </c>
      <c r="E68" s="362" t="inlineStr">
        <is>
          <t>Cinco o más operaciones al año</t>
        </is>
      </c>
      <c r="F68" s="361" t="n">
        <v>5</v>
      </c>
      <c r="G68" s="367" t="inlineStr">
        <is>
          <t>Mecanismo automatizado · RCG 41 fr. II</t>
        </is>
      </c>
      <c r="H68" s="392">
        <f>'VARIABLES'!$B68&amp;"|"&amp;'VARIABLES'!$E68</f>
        <v/>
      </c>
    </row>
    <row r="69">
      <c r="B69" s="389" t="inlineStr">
        <is>
          <t>F13</t>
        </is>
      </c>
      <c r="C69" s="390" t="inlineStr">
        <is>
          <t>Transaccional</t>
        </is>
      </c>
      <c r="D69" s="391" t="inlineStr">
        <is>
          <t>Frecuencia de las operaciones</t>
        </is>
      </c>
      <c r="E69" s="362" t="inlineStr">
        <is>
          <t>Operaciones fraccionadas en periodos cortos</t>
        </is>
      </c>
      <c r="F69" s="361" t="n">
        <v>5</v>
      </c>
      <c r="G69" s="367" t="inlineStr">
        <is>
          <t>Mecanismo automatizado · RCG 41 fr. II</t>
        </is>
      </c>
      <c r="H69" s="392">
        <f>'VARIABLES'!$B69&amp;"|"&amp;'VARIABLES'!$E69</f>
        <v/>
      </c>
    </row>
    <row r="70">
      <c r="B70" s="389" t="inlineStr">
        <is>
          <t>F14</t>
        </is>
      </c>
      <c r="C70" s="390" t="inlineStr">
        <is>
          <t>Transaccional</t>
        </is>
      </c>
      <c r="D70" s="391" t="inlineStr">
        <is>
          <t>Volumen en número de operaciones</t>
        </is>
      </c>
      <c r="E70" s="362" t="inlineStr">
        <is>
          <t>Una sola operación</t>
        </is>
      </c>
      <c r="F70" s="361" t="n">
        <v>1</v>
      </c>
      <c r="G70" s="367" t="inlineStr">
        <is>
          <t>Mecanismo automatizado · RCG 41 fr. II</t>
        </is>
      </c>
      <c r="H70" s="392">
        <f>'VARIABLES'!$B70&amp;"|"&amp;'VARIABLES'!$E70</f>
        <v/>
      </c>
    </row>
    <row r="71">
      <c r="B71" s="389" t="inlineStr">
        <is>
          <t>F14</t>
        </is>
      </c>
      <c r="C71" s="390" t="inlineStr">
        <is>
          <t>Transaccional</t>
        </is>
      </c>
      <c r="D71" s="391" t="inlineStr">
        <is>
          <t>Volumen en número de operaciones</t>
        </is>
      </c>
      <c r="E71" s="362" t="inlineStr">
        <is>
          <t>De dos a cinco operaciones</t>
        </is>
      </c>
      <c r="F71" s="361" t="n">
        <v>3</v>
      </c>
      <c r="G71" s="367" t="inlineStr">
        <is>
          <t>Mecanismo automatizado · RCG 41 fr. II</t>
        </is>
      </c>
      <c r="H71" s="392">
        <f>'VARIABLES'!$B71&amp;"|"&amp;'VARIABLES'!$E71</f>
        <v/>
      </c>
    </row>
    <row r="72">
      <c r="B72" s="389" t="inlineStr">
        <is>
          <t>F14</t>
        </is>
      </c>
      <c r="C72" s="390" t="inlineStr">
        <is>
          <t>Transaccional</t>
        </is>
      </c>
      <c r="D72" s="391" t="inlineStr">
        <is>
          <t>Volumen en número de operaciones</t>
        </is>
      </c>
      <c r="E72" s="362" t="inlineStr">
        <is>
          <t>Más de cinco operaciones</t>
        </is>
      </c>
      <c r="F72" s="361" t="n">
        <v>5</v>
      </c>
      <c r="G72" s="367" t="inlineStr">
        <is>
          <t>Mecanismo automatizado · RCG 41 fr. II</t>
        </is>
      </c>
      <c r="H72" s="392">
        <f>'VARIABLES'!$B72&amp;"|"&amp;'VARIABLES'!$E72</f>
        <v/>
      </c>
    </row>
    <row r="73">
      <c r="B73" s="389" t="inlineStr">
        <is>
          <t>F15</t>
        </is>
      </c>
      <c r="C73" s="390" t="inlineStr">
        <is>
          <t>Transaccional</t>
        </is>
      </c>
      <c r="D73" s="391" t="inlineStr">
        <is>
          <t>Número de contrapartes</t>
        </is>
      </c>
      <c r="E73" s="362" t="inlineStr">
        <is>
          <t>Una contraparte, el propio Cliente</t>
        </is>
      </c>
      <c r="F73" s="361" t="n">
        <v>1</v>
      </c>
      <c r="G73" s="367" t="inlineStr">
        <is>
          <t>Registro de operaciones</t>
        </is>
      </c>
      <c r="H73" s="392">
        <f>'VARIABLES'!$B73&amp;"|"&amp;'VARIABLES'!$E73</f>
        <v/>
      </c>
    </row>
    <row r="74">
      <c r="B74" s="389" t="inlineStr">
        <is>
          <t>F15</t>
        </is>
      </c>
      <c r="C74" s="390" t="inlineStr">
        <is>
          <t>Transaccional</t>
        </is>
      </c>
      <c r="D74" s="391" t="inlineStr">
        <is>
          <t>Número de contrapartes</t>
        </is>
      </c>
      <c r="E74" s="362" t="inlineStr">
        <is>
          <t>De dos a tres contrapartes</t>
        </is>
      </c>
      <c r="F74" s="361" t="n">
        <v>3</v>
      </c>
      <c r="G74" s="367" t="inlineStr">
        <is>
          <t>Registro de operaciones</t>
        </is>
      </c>
      <c r="H74" s="392">
        <f>'VARIABLES'!$B74&amp;"|"&amp;'VARIABLES'!$E74</f>
        <v/>
      </c>
    </row>
    <row r="75">
      <c r="B75" s="389" t="inlineStr">
        <is>
          <t>F15</t>
        </is>
      </c>
      <c r="C75" s="390" t="inlineStr">
        <is>
          <t>Transaccional</t>
        </is>
      </c>
      <c r="D75" s="391" t="inlineStr">
        <is>
          <t>Número de contrapartes</t>
        </is>
      </c>
      <c r="E75" s="362" t="inlineStr">
        <is>
          <t>Más de tres contrapartes</t>
        </is>
      </c>
      <c r="F75" s="361" t="n">
        <v>5</v>
      </c>
      <c r="G75" s="367" t="inlineStr">
        <is>
          <t>Registro de operaciones</t>
        </is>
      </c>
      <c r="H75" s="392">
        <f>'VARIABLES'!$B75&amp;"|"&amp;'VARIABLES'!$E75</f>
        <v/>
      </c>
    </row>
    <row r="76">
      <c r="B76" s="389" t="inlineStr">
        <is>
          <t>F15</t>
        </is>
      </c>
      <c r="C76" s="390" t="inlineStr">
        <is>
          <t>Transaccional</t>
        </is>
      </c>
      <c r="D76" s="391" t="inlineStr">
        <is>
          <t>Número de contrapartes</t>
        </is>
      </c>
      <c r="E76" s="362" t="inlineStr">
        <is>
          <t>Contrapartes no identificadas</t>
        </is>
      </c>
      <c r="F76" s="361" t="n">
        <v>5</v>
      </c>
      <c r="G76" s="367" t="inlineStr">
        <is>
          <t>Registro de operaciones</t>
        </is>
      </c>
      <c r="H76" s="392">
        <f>'VARIABLES'!$B76&amp;"|"&amp;'VARIABLES'!$E76</f>
        <v/>
      </c>
    </row>
    <row r="77">
      <c r="B77" s="389" t="inlineStr">
        <is>
          <t>F16</t>
        </is>
      </c>
      <c r="C77" s="390" t="inlineStr">
        <is>
          <t>Transaccional</t>
        </is>
      </c>
      <c r="D77" s="391" t="inlineStr">
        <is>
          <t>Instrumento monetario</t>
        </is>
      </c>
      <c r="E77" s="362" t="inlineStr">
        <is>
          <t>Transferencia electrónica desde cuenta a nombre del Cliente</t>
        </is>
      </c>
      <c r="F77" s="361" t="n">
        <v>1</v>
      </c>
      <c r="G77" s="367" t="inlineStr">
        <is>
          <t>Registro de la operación · Aviso</t>
        </is>
      </c>
      <c r="H77" s="392">
        <f>'VARIABLES'!$B77&amp;"|"&amp;'VARIABLES'!$E77</f>
        <v/>
      </c>
    </row>
    <row r="78">
      <c r="B78" s="389" t="inlineStr">
        <is>
          <t>F16</t>
        </is>
      </c>
      <c r="C78" s="390" t="inlineStr">
        <is>
          <t>Transaccional</t>
        </is>
      </c>
      <c r="D78" s="391" t="inlineStr">
        <is>
          <t>Instrumento monetario</t>
        </is>
      </c>
      <c r="E78" s="362" t="inlineStr">
        <is>
          <t>Cheque nominativo del Cliente</t>
        </is>
      </c>
      <c r="F78" s="361" t="n">
        <v>1</v>
      </c>
      <c r="G78" s="367" t="inlineStr">
        <is>
          <t>Registro de la operación · Aviso</t>
        </is>
      </c>
      <c r="H78" s="392">
        <f>'VARIABLES'!$B78&amp;"|"&amp;'VARIABLES'!$E78</f>
        <v/>
      </c>
    </row>
    <row r="79">
      <c r="B79" s="389" t="inlineStr">
        <is>
          <t>F16</t>
        </is>
      </c>
      <c r="C79" s="390" t="inlineStr">
        <is>
          <t>Transaccional</t>
        </is>
      </c>
      <c r="D79" s="391" t="inlineStr">
        <is>
          <t>Instrumento monetario</t>
        </is>
      </c>
      <c r="E79" s="362" t="inlineStr">
        <is>
          <t>Pago mixto con componente en efectivo</t>
        </is>
      </c>
      <c r="F79" s="361" t="n">
        <v>3</v>
      </c>
      <c r="G79" s="367" t="inlineStr">
        <is>
          <t>Registro de la operación · Aviso</t>
        </is>
      </c>
      <c r="H79" s="392">
        <f>'VARIABLES'!$B79&amp;"|"&amp;'VARIABLES'!$E79</f>
        <v/>
      </c>
    </row>
    <row r="80">
      <c r="B80" s="389" t="inlineStr">
        <is>
          <t>F16</t>
        </is>
      </c>
      <c r="C80" s="390" t="inlineStr">
        <is>
          <t>Transaccional</t>
        </is>
      </c>
      <c r="D80" s="391" t="inlineStr">
        <is>
          <t>Instrumento monetario</t>
        </is>
      </c>
      <c r="E80" s="362" t="inlineStr">
        <is>
          <t>Efectivo por encima del umbral interno</t>
        </is>
      </c>
      <c r="F80" s="361" t="n">
        <v>5</v>
      </c>
      <c r="G80" s="367" t="inlineStr">
        <is>
          <t>Registro de la operación · Aviso</t>
        </is>
      </c>
      <c r="H80" s="392">
        <f>'VARIABLES'!$B80&amp;"|"&amp;'VARIABLES'!$E80</f>
        <v/>
      </c>
    </row>
    <row r="81">
      <c r="B81" s="389" t="inlineStr">
        <is>
          <t>F16</t>
        </is>
      </c>
      <c r="C81" s="390" t="inlineStr">
        <is>
          <t>Transaccional</t>
        </is>
      </c>
      <c r="D81" s="391" t="inlineStr">
        <is>
          <t>Instrumento monetario</t>
        </is>
      </c>
      <c r="E81" s="362" t="inlineStr">
        <is>
          <t>Pago desde cuenta de un tercero no declarado</t>
        </is>
      </c>
      <c r="F81" s="361" t="n">
        <v>5</v>
      </c>
      <c r="G81" s="367" t="inlineStr">
        <is>
          <t>Registro de la operación · Aviso</t>
        </is>
      </c>
      <c r="H81" s="392">
        <f>'VARIABLES'!$B81&amp;"|"&amp;'VARIABLES'!$E81</f>
        <v/>
      </c>
    </row>
    <row r="82">
      <c r="B82" s="389" t="inlineStr">
        <is>
          <t>F16</t>
        </is>
      </c>
      <c r="C82" s="390" t="inlineStr">
        <is>
          <t>Transaccional</t>
        </is>
      </c>
      <c r="D82" s="391" t="inlineStr">
        <is>
          <t>Instrumento monetario</t>
        </is>
      </c>
      <c r="E82" s="362" t="inlineStr">
        <is>
          <t>Metales preciosos, activos virtuales u otro instrumento no bancarizado</t>
        </is>
      </c>
      <c r="F82" s="361" t="n">
        <v>5</v>
      </c>
      <c r="G82" s="367" t="inlineStr">
        <is>
          <t>Registro de la operación · Aviso</t>
        </is>
      </c>
      <c r="H82" s="392">
        <f>'VARIABLES'!$B82&amp;"|"&amp;'VARIABLES'!$E82</f>
        <v/>
      </c>
    </row>
    <row r="83">
      <c r="B83" s="389" t="inlineStr">
        <is>
          <t>F17</t>
        </is>
      </c>
      <c r="C83" s="390" t="inlineStr">
        <is>
          <t>Transaccional</t>
        </is>
      </c>
      <c r="D83" s="391" t="inlineStr">
        <is>
          <t>Tipo de moneda</t>
        </is>
      </c>
      <c r="E83" s="362" t="inlineStr">
        <is>
          <t>Peso mexicano</t>
        </is>
      </c>
      <c r="F83" s="361" t="n">
        <v>1</v>
      </c>
      <c r="G83" s="367" t="inlineStr">
        <is>
          <t>Registro de la operación · Aviso</t>
        </is>
      </c>
      <c r="H83" s="392">
        <f>'VARIABLES'!$B83&amp;"|"&amp;'VARIABLES'!$E83</f>
        <v/>
      </c>
    </row>
    <row r="84">
      <c r="B84" s="389" t="inlineStr">
        <is>
          <t>F17</t>
        </is>
      </c>
      <c r="C84" s="390" t="inlineStr">
        <is>
          <t>Transaccional</t>
        </is>
      </c>
      <c r="D84" s="391" t="inlineStr">
        <is>
          <t>Tipo de moneda</t>
        </is>
      </c>
      <c r="E84" s="362" t="inlineStr">
        <is>
          <t>Dólar estadounidense o euro</t>
        </is>
      </c>
      <c r="F84" s="361" t="n">
        <v>3</v>
      </c>
      <c r="G84" s="367" t="inlineStr">
        <is>
          <t>Registro de la operación · Aviso</t>
        </is>
      </c>
      <c r="H84" s="392">
        <f>'VARIABLES'!$B84&amp;"|"&amp;'VARIABLES'!$E84</f>
        <v/>
      </c>
    </row>
    <row r="85">
      <c r="B85" s="389" t="inlineStr">
        <is>
          <t>F17</t>
        </is>
      </c>
      <c r="C85" s="390" t="inlineStr">
        <is>
          <t>Transaccional</t>
        </is>
      </c>
      <c r="D85" s="391" t="inlineStr">
        <is>
          <t>Tipo de moneda</t>
        </is>
      </c>
      <c r="E85" s="362" t="inlineStr">
        <is>
          <t>Otra divisa</t>
        </is>
      </c>
      <c r="F85" s="361" t="n">
        <v>5</v>
      </c>
      <c r="G85" s="367" t="inlineStr">
        <is>
          <t>Registro de la operación · Aviso</t>
        </is>
      </c>
      <c r="H85" s="392">
        <f>'VARIABLES'!$B85&amp;"|"&amp;'VARIABLES'!$E85</f>
        <v/>
      </c>
    </row>
    <row r="86">
      <c r="B86" s="389" t="inlineStr">
        <is>
          <t>F17</t>
        </is>
      </c>
      <c r="C86" s="390" t="inlineStr">
        <is>
          <t>Transaccional</t>
        </is>
      </c>
      <c r="D86" s="391" t="inlineStr">
        <is>
          <t>Tipo de moneda</t>
        </is>
      </c>
      <c r="E86" s="362" t="inlineStr">
        <is>
          <t>Activo virtual</t>
        </is>
      </c>
      <c r="F86" s="361" t="n">
        <v>5</v>
      </c>
      <c r="G86" s="367" t="inlineStr">
        <is>
          <t>Registro de la operación · Aviso</t>
        </is>
      </c>
      <c r="H86" s="392">
        <f>'VARIABLES'!$B86&amp;"|"&amp;'VARIABLES'!$E86</f>
        <v/>
      </c>
    </row>
    <row r="87">
      <c r="B87" s="389" t="inlineStr">
        <is>
          <t>F18</t>
        </is>
      </c>
      <c r="C87" s="390" t="inlineStr">
        <is>
          <t>Transaccional</t>
        </is>
      </c>
      <c r="D87" s="391" t="inlineStr">
        <is>
          <t>Origen de los recursos</t>
        </is>
      </c>
      <c r="E87" s="362" t="inlineStr">
        <is>
          <t>Origen acreditado con documentación verificable</t>
        </is>
      </c>
      <c r="F87" s="361" t="n">
        <v>1</v>
      </c>
      <c r="G87" s="367" t="inlineStr">
        <is>
          <t>RCG 23 Ter 3 · declarado por el Cliente</t>
        </is>
      </c>
      <c r="H87" s="392">
        <f>'VARIABLES'!$B87&amp;"|"&amp;'VARIABLES'!$E87</f>
        <v/>
      </c>
    </row>
    <row r="88">
      <c r="B88" s="389" t="inlineStr">
        <is>
          <t>F18</t>
        </is>
      </c>
      <c r="C88" s="390" t="inlineStr">
        <is>
          <t>Transaccional</t>
        </is>
      </c>
      <c r="D88" s="391" t="inlineStr">
        <is>
          <t>Origen de los recursos</t>
        </is>
      </c>
      <c r="E88" s="362" t="inlineStr">
        <is>
          <t>Origen declarado con soporte parcial</t>
        </is>
      </c>
      <c r="F88" s="361" t="n">
        <v>3</v>
      </c>
      <c r="G88" s="367" t="inlineStr">
        <is>
          <t>RCG 23 Ter 3 · declarado por el Cliente</t>
        </is>
      </c>
      <c r="H88" s="392">
        <f>'VARIABLES'!$B88&amp;"|"&amp;'VARIABLES'!$E88</f>
        <v/>
      </c>
    </row>
    <row r="89">
      <c r="B89" s="389" t="inlineStr">
        <is>
          <t>F18</t>
        </is>
      </c>
      <c r="C89" s="390" t="inlineStr">
        <is>
          <t>Transaccional</t>
        </is>
      </c>
      <c r="D89" s="391" t="inlineStr">
        <is>
          <t>Origen de los recursos</t>
        </is>
      </c>
      <c r="E89" s="362" t="inlineStr">
        <is>
          <t>Origen declarado sin soporte</t>
        </is>
      </c>
      <c r="F89" s="361" t="n">
        <v>5</v>
      </c>
      <c r="G89" s="367" t="inlineStr">
        <is>
          <t>RCG 23 Ter 3 · declarado por el Cliente</t>
        </is>
      </c>
      <c r="H89" s="392">
        <f>'VARIABLES'!$B89&amp;"|"&amp;'VARIABLES'!$E89</f>
        <v/>
      </c>
    </row>
    <row r="90">
      <c r="B90" s="389" t="inlineStr">
        <is>
          <t>F18</t>
        </is>
      </c>
      <c r="C90" s="390" t="inlineStr">
        <is>
          <t>Transaccional</t>
        </is>
      </c>
      <c r="D90" s="391" t="inlineStr">
        <is>
          <t>Origen de los recursos</t>
        </is>
      </c>
      <c r="E90" s="362" t="inlineStr">
        <is>
          <t>Recursos provenientes de un tercero</t>
        </is>
      </c>
      <c r="F90" s="361" t="n">
        <v>5</v>
      </c>
      <c r="G90" s="367" t="inlineStr">
        <is>
          <t>RCG 23 Ter 3 · declarado por el Cliente</t>
        </is>
      </c>
      <c r="H90" s="392">
        <f>'VARIABLES'!$B90&amp;"|"&amp;'VARIABLES'!$E90</f>
        <v/>
      </c>
    </row>
    <row r="91">
      <c r="B91" s="389" t="inlineStr">
        <is>
          <t>F18</t>
        </is>
      </c>
      <c r="C91" s="390" t="inlineStr">
        <is>
          <t>Transaccional</t>
        </is>
      </c>
      <c r="D91" s="391" t="inlineStr">
        <is>
          <t>Origen de los recursos</t>
        </is>
      </c>
      <c r="E91" s="362" t="inlineStr">
        <is>
          <t>Origen no manifestado</t>
        </is>
      </c>
      <c r="F91" s="361" t="n">
        <v>5</v>
      </c>
      <c r="G91" s="367" t="inlineStr">
        <is>
          <t>RCG 23 Ter 3 · declarado por el Cliente</t>
        </is>
      </c>
      <c r="H91" s="392">
        <f>'VARIABLES'!$B91&amp;"|"&amp;'VARIABLES'!$E91</f>
        <v/>
      </c>
    </row>
    <row r="92">
      <c r="B92" s="389" t="inlineStr">
        <is>
          <t>F19</t>
        </is>
      </c>
      <c r="C92" s="390" t="inlineStr">
        <is>
          <t>Transaccional</t>
        </is>
      </c>
      <c r="D92" s="391" t="inlineStr">
        <is>
          <t>Destino de los recursos</t>
        </is>
      </c>
      <c r="E92" s="362" t="inlineStr">
        <is>
          <t>Destino es el propio bien u operación, registrado</t>
        </is>
      </c>
      <c r="F92" s="361" t="n">
        <v>1</v>
      </c>
      <c r="G92" s="367" t="inlineStr">
        <is>
          <t>RCG 23 Ter 3 · declarado por el Cliente</t>
        </is>
      </c>
      <c r="H92" s="392">
        <f>'VARIABLES'!$B92&amp;"|"&amp;'VARIABLES'!$E92</f>
        <v/>
      </c>
    </row>
    <row r="93">
      <c r="B93" s="389" t="inlineStr">
        <is>
          <t>F19</t>
        </is>
      </c>
      <c r="C93" s="390" t="inlineStr">
        <is>
          <t>Transaccional</t>
        </is>
      </c>
      <c r="D93" s="391" t="inlineStr">
        <is>
          <t>Destino de los recursos</t>
        </is>
      </c>
      <c r="E93" s="362" t="inlineStr">
        <is>
          <t>Destino declarado y verificable</t>
        </is>
      </c>
      <c r="F93" s="361" t="n">
        <v>3</v>
      </c>
      <c r="G93" s="367" t="inlineStr">
        <is>
          <t>RCG 23 Ter 3 · declarado por el Cliente</t>
        </is>
      </c>
      <c r="H93" s="392">
        <f>'VARIABLES'!$B93&amp;"|"&amp;'VARIABLES'!$E93</f>
        <v/>
      </c>
    </row>
    <row r="94">
      <c r="B94" s="389" t="inlineStr">
        <is>
          <t>F19</t>
        </is>
      </c>
      <c r="C94" s="390" t="inlineStr">
        <is>
          <t>Transaccional</t>
        </is>
      </c>
      <c r="D94" s="391" t="inlineStr">
        <is>
          <t>Destino de los recursos</t>
        </is>
      </c>
      <c r="E94" s="362" t="inlineStr">
        <is>
          <t>Destino a un tercero no relacionado</t>
        </is>
      </c>
      <c r="F94" s="361" t="n">
        <v>5</v>
      </c>
      <c r="G94" s="367" t="inlineStr">
        <is>
          <t>RCG 23 Ter 3 · declarado por el Cliente</t>
        </is>
      </c>
      <c r="H94" s="392">
        <f>'VARIABLES'!$B94&amp;"|"&amp;'VARIABLES'!$E94</f>
        <v/>
      </c>
    </row>
    <row r="95">
      <c r="B95" s="389" t="inlineStr">
        <is>
          <t>F19</t>
        </is>
      </c>
      <c r="C95" s="390" t="inlineStr">
        <is>
          <t>Transaccional</t>
        </is>
      </c>
      <c r="D95" s="391" t="inlineStr">
        <is>
          <t>Destino de los recursos</t>
        </is>
      </c>
      <c r="E95" s="362" t="inlineStr">
        <is>
          <t>Destino no manifestado</t>
        </is>
      </c>
      <c r="F95" s="361" t="n">
        <v>5</v>
      </c>
      <c r="G95" s="367" t="inlineStr">
        <is>
          <t>RCG 23 Ter 3 · declarado por el Cliente</t>
        </is>
      </c>
      <c r="H95" s="392">
        <f>'VARIABLES'!$B95&amp;"|"&amp;'VARIABLES'!$E95</f>
        <v/>
      </c>
    </row>
    <row r="96">
      <c r="B96" s="389" t="inlineStr">
        <is>
          <t>F20</t>
        </is>
      </c>
      <c r="C96" s="390" t="inlineStr">
        <is>
          <t>Transaccional</t>
        </is>
      </c>
      <c r="D96" s="391" t="inlineStr">
        <is>
          <t>Canal de la operación</t>
        </is>
      </c>
      <c r="E96" s="362" t="inlineStr">
        <is>
          <t>Presencial, con comparecencia del Cliente</t>
        </is>
      </c>
      <c r="F96" s="361" t="n">
        <v>1</v>
      </c>
      <c r="G96" s="367" t="inlineStr">
        <is>
          <t>Registro de la operación (dato del sistema)</t>
        </is>
      </c>
      <c r="H96" s="392">
        <f>'VARIABLES'!$B96&amp;"|"&amp;'VARIABLES'!$E96</f>
        <v/>
      </c>
    </row>
    <row r="97">
      <c r="B97" s="389" t="inlineStr">
        <is>
          <t>F20</t>
        </is>
      </c>
      <c r="C97" s="390" t="inlineStr">
        <is>
          <t>Transaccional</t>
        </is>
      </c>
      <c r="D97" s="391" t="inlineStr">
        <is>
          <t>Canal de la operación</t>
        </is>
      </c>
      <c r="E97" s="362" t="inlineStr">
        <is>
          <t>Presencial ante fedatario público</t>
        </is>
      </c>
      <c r="F97" s="361" t="n">
        <v>1</v>
      </c>
      <c r="G97" s="367" t="inlineStr">
        <is>
          <t>Registro de la operación (dato del sistema)</t>
        </is>
      </c>
      <c r="H97" s="392">
        <f>'VARIABLES'!$B97&amp;"|"&amp;'VARIABLES'!$E97</f>
        <v/>
      </c>
    </row>
    <row r="98">
      <c r="B98" s="389" t="inlineStr">
        <is>
          <t>F20</t>
        </is>
      </c>
      <c r="C98" s="390" t="inlineStr">
        <is>
          <t>Transaccional</t>
        </is>
      </c>
      <c r="D98" s="391" t="inlineStr">
        <is>
          <t>Canal de la operación</t>
        </is>
      </c>
      <c r="E98" s="362" t="inlineStr">
        <is>
          <t>No presencial con identificación por medios digitales</t>
        </is>
      </c>
      <c r="F98" s="361" t="n">
        <v>3</v>
      </c>
      <c r="G98" s="367" t="inlineStr">
        <is>
          <t>Registro de la operación (dato del sistema)</t>
        </is>
      </c>
      <c r="H98" s="392">
        <f>'VARIABLES'!$B98&amp;"|"&amp;'VARIABLES'!$E98</f>
        <v/>
      </c>
    </row>
    <row r="99">
      <c r="B99" s="389" t="inlineStr">
        <is>
          <t>F20</t>
        </is>
      </c>
      <c r="C99" s="390" t="inlineStr">
        <is>
          <t>Transaccional</t>
        </is>
      </c>
      <c r="D99" s="391" t="inlineStr">
        <is>
          <t>Canal de la operación</t>
        </is>
      </c>
      <c r="E99" s="362" t="inlineStr">
        <is>
          <t>A través de apoderado o representante</t>
        </is>
      </c>
      <c r="F99" s="361" t="n">
        <v>3</v>
      </c>
      <c r="G99" s="367" t="inlineStr">
        <is>
          <t>Registro de la operación (dato del sistema)</t>
        </is>
      </c>
      <c r="H99" s="392">
        <f>'VARIABLES'!$B99&amp;"|"&amp;'VARIABLES'!$E99</f>
        <v/>
      </c>
    </row>
    <row r="100">
      <c r="B100" s="389" t="inlineStr">
        <is>
          <t>F20</t>
        </is>
      </c>
      <c r="C100" s="390" t="inlineStr">
        <is>
          <t>Transaccional</t>
        </is>
      </c>
      <c r="D100" s="391" t="inlineStr">
        <is>
          <t>Canal de la operación</t>
        </is>
      </c>
      <c r="E100" s="362" t="inlineStr">
        <is>
          <t>A través de intermediario no acreditado</t>
        </is>
      </c>
      <c r="F100" s="361" t="n">
        <v>5</v>
      </c>
      <c r="G100" s="367" t="inlineStr">
        <is>
          <t>Registro de la operación (dato del sistema)</t>
        </is>
      </c>
      <c r="H100" s="392">
        <f>'VARIABLES'!$B100&amp;"|"&amp;'VARIABLES'!$E100</f>
        <v/>
      </c>
    </row>
    <row r="101">
      <c r="B101" s="389" t="inlineStr">
        <is>
          <t>F21</t>
        </is>
      </c>
      <c r="C101" s="390" t="inlineStr">
        <is>
          <t>Transaccional</t>
        </is>
      </c>
      <c r="D101" s="391" t="inlineStr">
        <is>
          <t>País o jurisdicción de la operación</t>
        </is>
      </c>
      <c r="E101" s="362" t="inlineStr">
        <is>
          <t>México</t>
        </is>
      </c>
      <c r="F101" s="361" t="n">
        <v>1</v>
      </c>
      <c r="G101" s="367" t="inlineStr">
        <is>
          <t>Registro de la operación</t>
        </is>
      </c>
      <c r="H101" s="392">
        <f>'VARIABLES'!$B101&amp;"|"&amp;'VARIABLES'!$E101</f>
        <v/>
      </c>
    </row>
    <row r="102">
      <c r="B102" s="389" t="inlineStr">
        <is>
          <t>F21</t>
        </is>
      </c>
      <c r="C102" s="390" t="inlineStr">
        <is>
          <t>Transaccional</t>
        </is>
      </c>
      <c r="D102" s="391" t="inlineStr">
        <is>
          <t>País o jurisdicción de la operación</t>
        </is>
      </c>
      <c r="E102" s="362" t="inlineStr">
        <is>
          <t>Extranjero, país sin señalamiento</t>
        </is>
      </c>
      <c r="F102" s="361" t="n">
        <v>3</v>
      </c>
      <c r="G102" s="367" t="inlineStr">
        <is>
          <t>Registro de la operación</t>
        </is>
      </c>
      <c r="H102" s="392">
        <f>'VARIABLES'!$B102&amp;"|"&amp;'VARIABLES'!$E102</f>
        <v/>
      </c>
    </row>
    <row r="103">
      <c r="B103" s="389" t="inlineStr">
        <is>
          <t>F21</t>
        </is>
      </c>
      <c r="C103" s="390" t="inlineStr">
        <is>
          <t>Transaccional</t>
        </is>
      </c>
      <c r="D103" s="391" t="inlineStr">
        <is>
          <t>País o jurisdicción de la operación</t>
        </is>
      </c>
      <c r="E103" s="362" t="inlineStr">
        <is>
          <t>Jurisdicción de régimen fiscal preferente o señalada por deficiencias</t>
        </is>
      </c>
      <c r="F103" s="361" t="n">
        <v>5</v>
      </c>
      <c r="G103" s="367" t="inlineStr">
        <is>
          <t>Registro de la operación</t>
        </is>
      </c>
      <c r="H103" s="392">
        <f>'VARIABLES'!$B103&amp;"|"&amp;'VARIABLES'!$E103</f>
        <v/>
      </c>
    </row>
    <row r="104">
      <c r="B104" s="389" t="inlineStr">
        <is>
          <t>F22</t>
        </is>
      </c>
      <c r="C104" s="390" t="inlineStr">
        <is>
          <t>Transaccional</t>
        </is>
      </c>
      <c r="D104" s="391" t="inlineStr">
        <is>
          <t>Área geográfica nacional de la operación</t>
        </is>
      </c>
      <c r="E104" s="362" t="inlineStr">
        <is>
          <t>Entidad federativa sin señalamiento en la ENR</t>
        </is>
      </c>
      <c r="F104" s="361" t="n">
        <v>1</v>
      </c>
      <c r="G104" s="367" t="inlineStr">
        <is>
          <t>Registro de la operación</t>
        </is>
      </c>
      <c r="H104" s="392">
        <f>'VARIABLES'!$B104&amp;"|"&amp;'VARIABLES'!$E104</f>
        <v/>
      </c>
    </row>
    <row r="105">
      <c r="B105" s="389" t="inlineStr">
        <is>
          <t>F22</t>
        </is>
      </c>
      <c r="C105" s="390" t="inlineStr">
        <is>
          <t>Transaccional</t>
        </is>
      </c>
      <c r="D105" s="391" t="inlineStr">
        <is>
          <t>Área geográfica nacional de la operación</t>
        </is>
      </c>
      <c r="E105" s="362" t="inlineStr">
        <is>
          <t>Entidad federativa con señalamiento en la ENR</t>
        </is>
      </c>
      <c r="F105" s="361" t="n">
        <v>3</v>
      </c>
      <c r="G105" s="367" t="inlineStr">
        <is>
          <t>Registro de la operación</t>
        </is>
      </c>
      <c r="H105" s="392">
        <f>'VARIABLES'!$B105&amp;"|"&amp;'VARIABLES'!$E105</f>
        <v/>
      </c>
    </row>
    <row r="106">
      <c r="B106" s="389" t="inlineStr">
        <is>
          <t>F22</t>
        </is>
      </c>
      <c r="C106" s="390" t="inlineStr">
        <is>
          <t>Transaccional</t>
        </is>
      </c>
      <c r="D106" s="391" t="inlineStr">
        <is>
          <t>Área geográfica nacional de la operación</t>
        </is>
      </c>
      <c r="E106" s="362" t="inlineStr">
        <is>
          <t>Municipio o zona identificada de alto riesgo</t>
        </is>
      </c>
      <c r="F106" s="361" t="n">
        <v>5</v>
      </c>
      <c r="G106" s="367" t="inlineStr">
        <is>
          <t>Registro de la operación</t>
        </is>
      </c>
      <c r="H106" s="392">
        <f>'VARIABLES'!$B106&amp;"|"&amp;'VARIABLES'!$E106</f>
        <v/>
      </c>
    </row>
    <row r="107">
      <c r="B107" s="389" t="inlineStr">
        <is>
          <t>F23</t>
        </is>
      </c>
      <c r="C107" s="390" t="inlineStr">
        <is>
          <t>Transaccional</t>
        </is>
      </c>
      <c r="D107" s="391" t="inlineStr">
        <is>
          <t>Congruencia entre domicilio y lugar de operación</t>
        </is>
      </c>
      <c r="E107" s="362" t="inlineStr">
        <is>
          <t>Domicilio y lugar de la operación coinciden</t>
        </is>
      </c>
      <c r="F107" s="361" t="n">
        <v>1</v>
      </c>
      <c r="G107" s="367" t="inlineStr">
        <is>
          <t>Derivado: A3 a) vi) / A4 a) v) contra el registro</t>
        </is>
      </c>
      <c r="H107" s="392">
        <f>'VARIABLES'!$B107&amp;"|"&amp;'VARIABLES'!$E107</f>
        <v/>
      </c>
    </row>
    <row r="108">
      <c r="B108" s="389" t="inlineStr">
        <is>
          <t>F23</t>
        </is>
      </c>
      <c r="C108" s="390" t="inlineStr">
        <is>
          <t>Transaccional</t>
        </is>
      </c>
      <c r="D108" s="391" t="inlineStr">
        <is>
          <t>Congruencia entre domicilio y lugar de operación</t>
        </is>
      </c>
      <c r="E108" s="362" t="inlineStr">
        <is>
          <t>Distinta entidad federativa, con explicación documentada</t>
        </is>
      </c>
      <c r="F108" s="361" t="n">
        <v>3</v>
      </c>
      <c r="G108" s="367" t="inlineStr">
        <is>
          <t>Derivado: A3 a) vi) / A4 a) v) contra el registro</t>
        </is>
      </c>
      <c r="H108" s="392">
        <f>'VARIABLES'!$B108&amp;"|"&amp;'VARIABLES'!$E108</f>
        <v/>
      </c>
    </row>
    <row r="109">
      <c r="B109" s="389" t="inlineStr">
        <is>
          <t>F23</t>
        </is>
      </c>
      <c r="C109" s="390" t="inlineStr">
        <is>
          <t>Transaccional</t>
        </is>
      </c>
      <c r="D109" s="391" t="inlineStr">
        <is>
          <t>Congruencia entre domicilio y lugar de operación</t>
        </is>
      </c>
      <c r="E109" s="362" t="inlineStr">
        <is>
          <t>Distinta entidad federativa sin explicación</t>
        </is>
      </c>
      <c r="F109" s="361" t="n">
        <v>5</v>
      </c>
      <c r="G109" s="367" t="inlineStr">
        <is>
          <t>Derivado: A3 a) vi) / A4 a) v) contra el registro</t>
        </is>
      </c>
      <c r="H109" s="392">
        <f>'VARIABLES'!$B109&amp;"|"&amp;'VARIABLES'!$E109</f>
        <v/>
      </c>
    </row>
    <row r="110">
      <c r="B110" s="389" t="inlineStr">
        <is>
          <t>F23</t>
        </is>
      </c>
      <c r="C110" s="390" t="inlineStr">
        <is>
          <t>Transaccional</t>
        </is>
      </c>
      <c r="D110" s="391" t="inlineStr">
        <is>
          <t>Congruencia entre domicilio y lugar de operación</t>
        </is>
      </c>
      <c r="E110" s="362" t="inlineStr">
        <is>
          <t>Domicilio en el extranjero y operación en México sin razón acreditada</t>
        </is>
      </c>
      <c r="F110" s="361" t="n">
        <v>5</v>
      </c>
      <c r="G110" s="367" t="inlineStr">
        <is>
          <t>Derivado: A3 a) vi) / A4 a) v) contra el registro</t>
        </is>
      </c>
      <c r="H110" s="392">
        <f>'VARIABLES'!$B110&amp;"|"&amp;'VARIABLES'!$E110</f>
        <v/>
      </c>
    </row>
  </sheetData>
  <mergeCells count="5">
    <mergeCell ref="B4:H4"/>
    <mergeCell ref="B6:H6"/>
    <mergeCell ref="B2:H2"/>
    <mergeCell ref="B3:H3"/>
    <mergeCell ref="B5:H5"/>
  </mergeCells>
  <pageMargins left="0.75" right="0.75" top="1" bottom="1" header="0.5" footer="0.5"/>
</worksheet>
</file>

<file path=xl/worksheets/sheet14.xml><?xml version="1.0" encoding="utf-8"?>
<worksheet xmlns="http://schemas.openxmlformats.org/spreadsheetml/2006/main">
  <sheetPr>
    <tabColor rgb="FFFFC000"/>
    <outlinePr summaryBelow="1" summaryRight="1"/>
    <pageSetUpPr/>
  </sheetPr>
  <dimension ref="B2:I74"/>
  <sheetViews>
    <sheetView showGridLines="0" workbookViewId="0">
      <selection activeCell="A1" sqref="A1"/>
    </sheetView>
  </sheetViews>
  <sheetFormatPr baseColWidth="8" defaultRowHeight="15"/>
  <cols>
    <col width="2" customWidth="1" style="173" min="1" max="1"/>
    <col width="7" customWidth="1" style="173" min="2" max="2"/>
    <col width="13" customWidth="1" style="173" min="3" max="3"/>
    <col width="42" customWidth="1" style="173" min="4" max="4"/>
    <col width="48" customWidth="1" style="173" min="5" max="5"/>
    <col width="7" customWidth="1" style="173" min="6" max="6"/>
    <col width="7" customWidth="1" style="173" min="7" max="7"/>
    <col width="8" customWidth="1" style="173" min="8" max="8"/>
    <col width="40" customWidth="1" style="173" min="9" max="9"/>
  </cols>
  <sheetData>
    <row r="2">
      <c r="B2" s="400" t="inlineStr">
        <is>
          <t>B · GRADO DE RIESGO DEL CLIENTE O USUARIA</t>
        </is>
      </c>
    </row>
    <row r="3">
      <c r="B3" s="355" t="inlineStr">
        <is>
          <t>Modelo de clasificación por Grado de Riesgo individual (Art. 23 Bis). Los factores se agrupan en características inherentes y transaccionales, como los nombra el Art. 23 Bis 2.</t>
        </is>
      </c>
    </row>
    <row r="4">
      <c r="B4" s="413" t="inlineStr">
        <is>
          <t>Elige la variable de cada factor en su desplegable. El nivel lo trae solo de la hoja VARIABLES; el del producto, de la hoja PRODUCTOS.</t>
        </is>
      </c>
    </row>
    <row r="5" ht="15" customHeight="1" s="173">
      <c r="B5" s="410" t="inlineStr">
        <is>
          <t>Fuera de secuencia  ·  un Cliente a la vez, al alta y al menos cada seis meses  ·  Viene de: PRODUCTOS y VARIABLES</t>
        </is>
      </c>
    </row>
    <row r="6" ht="20" customHeight="1" s="173">
      <c r="B6" s="357" t="inlineStr">
        <is>
          <t>IDENTIFICACIÓN DEL CLIENTE</t>
        </is>
      </c>
    </row>
    <row r="7">
      <c r="B7" s="358" t="inlineStr">
        <is>
          <t>Nombre o identificador del Cliente:</t>
        </is>
      </c>
      <c r="E7" s="359" t="n"/>
      <c r="F7" s="393" t="n"/>
      <c r="G7" s="393" t="n"/>
      <c r="H7" s="393" t="n"/>
      <c r="I7" s="394" t="n"/>
    </row>
    <row r="8">
      <c r="B8" s="358" t="inlineStr">
        <is>
          <t>Anexo de identificación aplicable:</t>
        </is>
      </c>
      <c r="E8" s="359" t="n"/>
      <c r="F8" s="393" t="n"/>
      <c r="G8" s="393" t="n"/>
      <c r="H8" s="393" t="n"/>
      <c r="I8" s="394" t="n"/>
    </row>
    <row r="9">
      <c r="B9" s="358" t="inlineStr">
        <is>
          <t>Fecha de la clasificación:</t>
        </is>
      </c>
      <c r="E9" s="359" t="n"/>
      <c r="F9" s="393" t="n"/>
      <c r="G9" s="394" t="n"/>
    </row>
    <row r="10">
      <c r="B10" s="358" t="inlineStr">
        <is>
          <t>¿Reside en territorio mexicano?:</t>
        </is>
      </c>
      <c r="E10" s="359" t="n"/>
      <c r="F10" s="393" t="n"/>
      <c r="G10" s="394" t="n"/>
    </row>
    <row r="11">
      <c r="B11" s="358" t="inlineStr">
        <is>
          <t>¿Vínculo o efectos con jurisdicción de régimen fiscal preferente o deficiente en PLD?:</t>
        </is>
      </c>
      <c r="E11" s="359" t="n"/>
      <c r="F11" s="393" t="n"/>
      <c r="G11" s="394" t="n"/>
    </row>
    <row r="13" ht="20" customHeight="1" s="173">
      <c r="B13" s="357" t="inlineStr">
        <is>
          <t>FACTORES DE RIESGO  ·  elige la variable; el nivel se calcula solo</t>
        </is>
      </c>
    </row>
    <row r="14" ht="28" customHeight="1" s="173">
      <c r="B14" s="407" t="inlineStr">
        <is>
          <t>Clave</t>
        </is>
      </c>
      <c r="C14" s="407" t="inlineStr">
        <is>
          <t>Familia</t>
        </is>
      </c>
      <c r="D14" s="407" t="inlineStr">
        <is>
          <t>Factor</t>
        </is>
      </c>
      <c r="E14" s="407" t="inlineStr">
        <is>
          <t>Variable seleccionada</t>
        </is>
      </c>
      <c r="F14" s="407" t="inlineStr">
        <is>
          <t>Nivel</t>
        </is>
      </c>
      <c r="G14" s="407" t="inlineStr">
        <is>
          <t>Peso</t>
        </is>
      </c>
      <c r="H14" s="407" t="inlineStr">
        <is>
          <t>Aporte</t>
        </is>
      </c>
      <c r="I14" s="407" t="inlineStr">
        <is>
          <t>Fuente del dato</t>
        </is>
      </c>
    </row>
    <row r="15">
      <c r="B15" s="389" t="inlineStr">
        <is>
          <t>F01</t>
        </is>
      </c>
      <c r="C15" s="401" t="inlineStr">
        <is>
          <t>Inherente</t>
        </is>
      </c>
      <c r="D15" s="362" t="inlineStr">
        <is>
          <t>Tipo de persona y estructura</t>
        </is>
      </c>
      <c r="E15" s="402" t="n"/>
      <c r="F15" s="366">
        <f>IFERROR(INDEX(VARIABLES!$F:$F,MATCH($B15&amp;"|"&amp;$E15,VARIABLES!$H:$H,0)),0)</f>
        <v/>
      </c>
      <c r="G15" s="365" t="n">
        <v>0.13</v>
      </c>
      <c r="H15" s="366">
        <f>F15*G15</f>
        <v/>
      </c>
      <c r="I15" s="367" t="inlineStr">
        <is>
          <t>Anexo aplicable: 3 física · 4 moral · 8 fideicomiso</t>
        </is>
      </c>
    </row>
    <row r="16">
      <c r="B16" s="389" t="inlineStr">
        <is>
          <t>F02</t>
        </is>
      </c>
      <c r="C16" s="401" t="inlineStr">
        <is>
          <t>Inherente</t>
        </is>
      </c>
      <c r="D16" s="362" t="inlineStr">
        <is>
          <t>Fecha de nacimiento o de constitución</t>
        </is>
      </c>
      <c r="E16" s="402" t="n"/>
      <c r="F16" s="366">
        <f>IFERROR(INDEX(VARIABLES!$F:$F,MATCH($B16&amp;"|"&amp;$E16,VARIABLES!$H:$H,0)),0)</f>
        <v/>
      </c>
      <c r="G16" s="365" t="n">
        <v>0.07000000000000001</v>
      </c>
      <c r="H16" s="366">
        <f>F16*G16</f>
        <v/>
      </c>
      <c r="I16" s="367" t="inlineStr">
        <is>
          <t>A3 a) ii) · A4 a) ii)</t>
        </is>
      </c>
    </row>
    <row r="17">
      <c r="B17" s="389" t="inlineStr">
        <is>
          <t>F03</t>
        </is>
      </c>
      <c r="C17" s="401" t="inlineStr">
        <is>
          <t>Inherente</t>
        </is>
      </c>
      <c r="D17" s="362" t="inlineStr">
        <is>
          <t>Actividad, ocupación, profesión o giro</t>
        </is>
      </c>
      <c r="E17" s="402" t="n"/>
      <c r="F17" s="366">
        <f>IFERROR(INDEX(VARIABLES!$F:$F,MATCH($B17&amp;"|"&amp;$E17,VARIABLES!$H:$H,0)),0)</f>
        <v/>
      </c>
      <c r="G17" s="365" t="n">
        <v>0.15</v>
      </c>
      <c r="H17" s="366">
        <f>F17*G17</f>
        <v/>
      </c>
      <c r="I17" s="367" t="inlineStr">
        <is>
          <t>A3 a) v) · A4 a) iv)</t>
        </is>
      </c>
    </row>
    <row r="18">
      <c r="B18" s="389" t="inlineStr">
        <is>
          <t>F04</t>
        </is>
      </c>
      <c r="C18" s="401" t="inlineStr">
        <is>
          <t>Inherente</t>
        </is>
      </c>
      <c r="D18" s="362" t="inlineStr">
        <is>
          <t>País de nacionalidad</t>
        </is>
      </c>
      <c r="E18" s="402" t="n"/>
      <c r="F18" s="366">
        <f>IFERROR(INDEX(VARIABLES!$F:$F,MATCH($B18&amp;"|"&amp;$E18,VARIABLES!$H:$H,0)),0)</f>
        <v/>
      </c>
      <c r="G18" s="365" t="n">
        <v>0.06</v>
      </c>
      <c r="H18" s="366">
        <f>F18*G18</f>
        <v/>
      </c>
      <c r="I18" s="367" t="inlineStr">
        <is>
          <t>A3 a) iv) · A4 a) iii)</t>
        </is>
      </c>
    </row>
    <row r="19">
      <c r="B19" s="389" t="inlineStr">
        <is>
          <t>F05</t>
        </is>
      </c>
      <c r="C19" s="401" t="inlineStr">
        <is>
          <t>Inherente</t>
        </is>
      </c>
      <c r="D19" s="362" t="inlineStr">
        <is>
          <t>Domicilio: país y estado de residencia</t>
        </is>
      </c>
      <c r="E19" s="402" t="n"/>
      <c r="F19" s="366">
        <f>IFERROR(INDEX(VARIABLES!$F:$F,MATCH($B19&amp;"|"&amp;$E19,VARIABLES!$H:$H,0)),0)</f>
        <v/>
      </c>
      <c r="G19" s="365" t="n">
        <v>0.09</v>
      </c>
      <c r="H19" s="366">
        <f>F19*G19</f>
        <v/>
      </c>
      <c r="I19" s="367" t="inlineStr">
        <is>
          <t>A3 a) vi) · A4 a) v)</t>
        </is>
      </c>
    </row>
    <row r="20">
      <c r="B20" s="389" t="inlineStr">
        <is>
          <t>F06</t>
        </is>
      </c>
      <c r="C20" s="401" t="inlineStr">
        <is>
          <t>Inherente</t>
        </is>
      </c>
      <c r="D20" s="362" t="inlineStr">
        <is>
          <t>Condición de Persona Políticamente Expuesta</t>
        </is>
      </c>
      <c r="E20" s="402" t="n"/>
      <c r="F20" s="366">
        <f>IFERROR(INDEX(VARIABLES!$F:$F,MATCH($B20&amp;"|"&amp;$E20,VARIABLES!$H:$H,0)),0)</f>
        <v/>
      </c>
      <c r="G20" s="365" t="n">
        <v>0.13</v>
      </c>
      <c r="H20" s="366">
        <f>F20*G20</f>
        <v/>
      </c>
      <c r="I20" s="367" t="inlineStr">
        <is>
          <t>Anexo 10 · RCG 23 Bis 3 y 23 Bis 4</t>
        </is>
      </c>
    </row>
    <row r="21">
      <c r="B21" s="389" t="inlineStr">
        <is>
          <t>F07</t>
        </is>
      </c>
      <c r="C21" s="401" t="inlineStr">
        <is>
          <t>Inherente</t>
        </is>
      </c>
      <c r="D21" s="362" t="inlineStr">
        <is>
          <t>Coincidencia en listas de personas bloqueadas</t>
        </is>
      </c>
      <c r="E21" s="402" t="n"/>
      <c r="F21" s="366">
        <f>IFERROR(INDEX(VARIABLES!$F:$F,MATCH($B21&amp;"|"&amp;$E21,VARIABLES!$H:$H,0)),0)</f>
        <v/>
      </c>
      <c r="G21" s="365" t="n">
        <v>0.1</v>
      </c>
      <c r="H21" s="366">
        <f>F21*G21</f>
        <v/>
      </c>
      <c r="I21" s="367" t="inlineStr">
        <is>
          <t>RCG 38 · RCG 41 fr. V</t>
        </is>
      </c>
    </row>
    <row r="22">
      <c r="B22" s="389" t="inlineStr">
        <is>
          <t>F08</t>
        </is>
      </c>
      <c r="C22" s="401" t="inlineStr">
        <is>
          <t>Inherente</t>
        </is>
      </c>
      <c r="D22" s="362" t="inlineStr">
        <is>
          <t>Beneficiario Controlador</t>
        </is>
      </c>
      <c r="E22" s="402" t="n"/>
      <c r="F22" s="366">
        <f>IFERROR(INDEX(VARIABLES!$F:$F,MATCH($B22&amp;"|"&amp;$E22,VARIABLES!$H:$H,0)),0)</f>
        <v/>
      </c>
      <c r="G22" s="365" t="n">
        <v>0.17</v>
      </c>
      <c r="H22" s="366">
        <f>F22*G22</f>
        <v/>
      </c>
      <c r="I22" s="367" t="inlineStr">
        <is>
          <t>A3 b) iv) · A4 b) v) · A8 b) iv)</t>
        </is>
      </c>
    </row>
    <row r="23">
      <c r="B23" s="389" t="inlineStr">
        <is>
          <t>F09</t>
        </is>
      </c>
      <c r="C23" s="401" t="inlineStr">
        <is>
          <t>Inherente</t>
        </is>
      </c>
      <c r="D23" s="362" t="inlineStr">
        <is>
          <t>Fuente de los ingresos</t>
        </is>
      </c>
      <c r="E23" s="402" t="n"/>
      <c r="F23" s="366">
        <f>IFERROR(INDEX(VARIABLES!$F:$F,MATCH($B23&amp;"|"&amp;$E23,VARIABLES!$H:$H,0)),0)</f>
        <v/>
      </c>
      <c r="G23" s="365" t="n">
        <v>0.06</v>
      </c>
      <c r="H23" s="366">
        <f>F23*G23</f>
        <v/>
      </c>
      <c r="I23" s="367" t="inlineStr">
        <is>
          <t>A3 a) v) · declarada por el Cliente</t>
        </is>
      </c>
    </row>
    <row r="24">
      <c r="B24" s="389" t="inlineStr">
        <is>
          <t>F10</t>
        </is>
      </c>
      <c r="C24" s="401" t="inlineStr">
        <is>
          <t>Inherente</t>
        </is>
      </c>
      <c r="D24" s="362" t="inlineStr">
        <is>
          <t>Naturaleza y propósito de la relación</t>
        </is>
      </c>
      <c r="E24" s="402" t="n"/>
      <c r="F24" s="366">
        <f>IFERROR(INDEX(VARIABLES!$F:$F,MATCH($B24&amp;"|"&amp;$E24,VARIABLES!$H:$H,0)),0)</f>
        <v/>
      </c>
      <c r="G24" s="365" t="n">
        <v>0.04</v>
      </c>
      <c r="H24" s="366">
        <f>F24*G24</f>
        <v/>
      </c>
      <c r="I24" s="367" t="inlineStr">
        <is>
          <t>Perfil transaccional · RCG 23 Ter 1</t>
        </is>
      </c>
    </row>
    <row r="25">
      <c r="B25" s="389" t="inlineStr">
        <is>
          <t>F11</t>
        </is>
      </c>
      <c r="C25" s="403" t="inlineStr">
        <is>
          <t>Transaccional</t>
        </is>
      </c>
      <c r="D25" s="362" t="inlineStr">
        <is>
          <t>Producto o servicio contratado</t>
        </is>
      </c>
      <c r="E25" s="402" t="n"/>
      <c r="F25" s="366">
        <f>IFERROR(INDEX(PRODUCTOS!$J:$J,MATCH($E25,PRODUCTOS!$C:$C,0)),0)</f>
        <v/>
      </c>
      <c r="G25" s="365" t="n">
        <v>0.15</v>
      </c>
      <c r="H25" s="366">
        <f>F25*G25</f>
        <v/>
      </c>
      <c r="I25" s="367" t="inlineStr">
        <is>
          <t>Hoja PRODUCTOS · registro de la operación</t>
        </is>
      </c>
    </row>
    <row r="26">
      <c r="B26" s="389" t="inlineStr">
        <is>
          <t>F12</t>
        </is>
      </c>
      <c r="C26" s="403" t="inlineStr">
        <is>
          <t>Transaccional</t>
        </is>
      </c>
      <c r="D26" s="362" t="inlineStr">
        <is>
          <t>Monto frente al Perfil transaccional y umbrales</t>
        </is>
      </c>
      <c r="E26" s="402" t="n"/>
      <c r="F26" s="366">
        <f>IFERROR(INDEX(VARIABLES!$F:$F,MATCH($B26&amp;"|"&amp;$E26,VARIABLES!$H:$H,0)),0)</f>
        <v/>
      </c>
      <c r="G26" s="365" t="n">
        <v>0.12</v>
      </c>
      <c r="H26" s="366">
        <f>F26*G26</f>
        <v/>
      </c>
      <c r="I26" s="367" t="inlineStr">
        <is>
          <t>RCG 23 Ter 1 · L 17</t>
        </is>
      </c>
    </row>
    <row r="27">
      <c r="B27" s="389" t="inlineStr">
        <is>
          <t>F13</t>
        </is>
      </c>
      <c r="C27" s="403" t="inlineStr">
        <is>
          <t>Transaccional</t>
        </is>
      </c>
      <c r="D27" s="362" t="inlineStr">
        <is>
          <t>Frecuencia de las operaciones</t>
        </is>
      </c>
      <c r="E27" s="402" t="n"/>
      <c r="F27" s="366">
        <f>IFERROR(INDEX(VARIABLES!$F:$F,MATCH($B27&amp;"|"&amp;$E27,VARIABLES!$H:$H,0)),0)</f>
        <v/>
      </c>
      <c r="G27" s="365" t="n">
        <v>0.11</v>
      </c>
      <c r="H27" s="366">
        <f>F27*G27</f>
        <v/>
      </c>
      <c r="I27" s="367" t="inlineStr">
        <is>
          <t>Mecanismo automatizado · RCG 41 fr. II</t>
        </is>
      </c>
    </row>
    <row r="28">
      <c r="B28" s="389" t="inlineStr">
        <is>
          <t>F14</t>
        </is>
      </c>
      <c r="C28" s="403" t="inlineStr">
        <is>
          <t>Transaccional</t>
        </is>
      </c>
      <c r="D28" s="362" t="inlineStr">
        <is>
          <t>Volumen en número de operaciones</t>
        </is>
      </c>
      <c r="E28" s="402" t="n"/>
      <c r="F28" s="366">
        <f>IFERROR(INDEX(VARIABLES!$F:$F,MATCH($B28&amp;"|"&amp;$E28,VARIABLES!$H:$H,0)),0)</f>
        <v/>
      </c>
      <c r="G28" s="365" t="n">
        <v>0.05</v>
      </c>
      <c r="H28" s="366">
        <f>F28*G28</f>
        <v/>
      </c>
      <c r="I28" s="367" t="inlineStr">
        <is>
          <t>Mecanismo automatizado · RCG 41 fr. II</t>
        </is>
      </c>
    </row>
    <row r="29">
      <c r="B29" s="389" t="inlineStr">
        <is>
          <t>F15</t>
        </is>
      </c>
      <c r="C29" s="403" t="inlineStr">
        <is>
          <t>Transaccional</t>
        </is>
      </c>
      <c r="D29" s="362" t="inlineStr">
        <is>
          <t>Número de contrapartes</t>
        </is>
      </c>
      <c r="E29" s="402" t="n"/>
      <c r="F29" s="366">
        <f>IFERROR(INDEX(VARIABLES!$F:$F,MATCH($B29&amp;"|"&amp;$E29,VARIABLES!$H:$H,0)),0)</f>
        <v/>
      </c>
      <c r="G29" s="365" t="n">
        <v>0.06</v>
      </c>
      <c r="H29" s="366">
        <f>F29*G29</f>
        <v/>
      </c>
      <c r="I29" s="367" t="inlineStr">
        <is>
          <t>Registro de operaciones</t>
        </is>
      </c>
    </row>
    <row r="30">
      <c r="B30" s="389" t="inlineStr">
        <is>
          <t>F16</t>
        </is>
      </c>
      <c r="C30" s="403" t="inlineStr">
        <is>
          <t>Transaccional</t>
        </is>
      </c>
      <c r="D30" s="362" t="inlineStr">
        <is>
          <t>Instrumento monetario</t>
        </is>
      </c>
      <c r="E30" s="402" t="n"/>
      <c r="F30" s="366">
        <f>IFERROR(INDEX(VARIABLES!$F:$F,MATCH($B30&amp;"|"&amp;$E30,VARIABLES!$H:$H,0)),0)</f>
        <v/>
      </c>
      <c r="G30" s="365" t="n">
        <v>0.14</v>
      </c>
      <c r="H30" s="366">
        <f>F30*G30</f>
        <v/>
      </c>
      <c r="I30" s="367" t="inlineStr">
        <is>
          <t>Registro de la operación · Aviso</t>
        </is>
      </c>
    </row>
    <row r="31">
      <c r="B31" s="389" t="inlineStr">
        <is>
          <t>F17</t>
        </is>
      </c>
      <c r="C31" s="403" t="inlineStr">
        <is>
          <t>Transaccional</t>
        </is>
      </c>
      <c r="D31" s="362" t="inlineStr">
        <is>
          <t>Tipo de moneda</t>
        </is>
      </c>
      <c r="E31" s="402" t="n"/>
      <c r="F31" s="366">
        <f>IFERROR(INDEX(VARIABLES!$F:$F,MATCH($B31&amp;"|"&amp;$E31,VARIABLES!$H:$H,0)),0)</f>
        <v/>
      </c>
      <c r="G31" s="365" t="n">
        <v>0.03</v>
      </c>
      <c r="H31" s="366">
        <f>F31*G31</f>
        <v/>
      </c>
      <c r="I31" s="367" t="inlineStr">
        <is>
          <t>Registro de la operación · Aviso</t>
        </is>
      </c>
    </row>
    <row r="32">
      <c r="B32" s="389" t="inlineStr">
        <is>
          <t>F18</t>
        </is>
      </c>
      <c r="C32" s="403" t="inlineStr">
        <is>
          <t>Transaccional</t>
        </is>
      </c>
      <c r="D32" s="362" t="inlineStr">
        <is>
          <t>Origen de los recursos</t>
        </is>
      </c>
      <c r="E32" s="402" t="n"/>
      <c r="F32" s="366">
        <f>IFERROR(INDEX(VARIABLES!$F:$F,MATCH($B32&amp;"|"&amp;$E32,VARIABLES!$H:$H,0)),0)</f>
        <v/>
      </c>
      <c r="G32" s="365" t="n">
        <v>0.13</v>
      </c>
      <c r="H32" s="366">
        <f>F32*G32</f>
        <v/>
      </c>
      <c r="I32" s="367" t="inlineStr">
        <is>
          <t>RCG 23 Ter 3 · declarado por el Cliente</t>
        </is>
      </c>
    </row>
    <row r="33">
      <c r="B33" s="389" t="inlineStr">
        <is>
          <t>F19</t>
        </is>
      </c>
      <c r="C33" s="403" t="inlineStr">
        <is>
          <t>Transaccional</t>
        </is>
      </c>
      <c r="D33" s="362" t="inlineStr">
        <is>
          <t>Destino de los recursos</t>
        </is>
      </c>
      <c r="E33" s="402" t="n"/>
      <c r="F33" s="366">
        <f>IFERROR(INDEX(VARIABLES!$F:$F,MATCH($B33&amp;"|"&amp;$E33,VARIABLES!$H:$H,0)),0)</f>
        <v/>
      </c>
      <c r="G33" s="365" t="n">
        <v>0.06</v>
      </c>
      <c r="H33" s="366">
        <f>F33*G33</f>
        <v/>
      </c>
      <c r="I33" s="367" t="inlineStr">
        <is>
          <t>RCG 23 Ter 3 · declarado por el Cliente</t>
        </is>
      </c>
    </row>
    <row r="34">
      <c r="B34" s="389" t="inlineStr">
        <is>
          <t>F20</t>
        </is>
      </c>
      <c r="C34" s="403" t="inlineStr">
        <is>
          <t>Transaccional</t>
        </is>
      </c>
      <c r="D34" s="362" t="inlineStr">
        <is>
          <t>Canal de la operación</t>
        </is>
      </c>
      <c r="E34" s="402" t="n"/>
      <c r="F34" s="366">
        <f>IFERROR(INDEX(VARIABLES!$F:$F,MATCH($B34&amp;"|"&amp;$E34,VARIABLES!$H:$H,0)),0)</f>
        <v/>
      </c>
      <c r="G34" s="365" t="n">
        <v>0.05</v>
      </c>
      <c r="H34" s="366">
        <f>F34*G34</f>
        <v/>
      </c>
      <c r="I34" s="367" t="inlineStr">
        <is>
          <t>Registro de la operación (dato del sistema)</t>
        </is>
      </c>
    </row>
    <row r="35">
      <c r="B35" s="389" t="inlineStr">
        <is>
          <t>F21</t>
        </is>
      </c>
      <c r="C35" s="403" t="inlineStr">
        <is>
          <t>Transaccional</t>
        </is>
      </c>
      <c r="D35" s="362" t="inlineStr">
        <is>
          <t>País o jurisdicción de la operación</t>
        </is>
      </c>
      <c r="E35" s="402" t="n"/>
      <c r="F35" s="366">
        <f>IFERROR(INDEX(VARIABLES!$F:$F,MATCH($B35&amp;"|"&amp;$E35,VARIABLES!$H:$H,0)),0)</f>
        <v/>
      </c>
      <c r="G35" s="365" t="n">
        <v>0.04</v>
      </c>
      <c r="H35" s="366">
        <f>F35*G35</f>
        <v/>
      </c>
      <c r="I35" s="367" t="inlineStr">
        <is>
          <t>Registro de la operación</t>
        </is>
      </c>
    </row>
    <row r="36">
      <c r="B36" s="389" t="inlineStr">
        <is>
          <t>F22</t>
        </is>
      </c>
      <c r="C36" s="403" t="inlineStr">
        <is>
          <t>Transaccional</t>
        </is>
      </c>
      <c r="D36" s="362" t="inlineStr">
        <is>
          <t>Área geográfica nacional de la operación</t>
        </is>
      </c>
      <c r="E36" s="402" t="n"/>
      <c r="F36" s="366">
        <f>IFERROR(INDEX(VARIABLES!$F:$F,MATCH($B36&amp;"|"&amp;$E36,VARIABLES!$H:$H,0)),0)</f>
        <v/>
      </c>
      <c r="G36" s="365" t="n">
        <v>0.03</v>
      </c>
      <c r="H36" s="366">
        <f>F36*G36</f>
        <v/>
      </c>
      <c r="I36" s="367" t="inlineStr">
        <is>
          <t>Registro de la operación</t>
        </is>
      </c>
    </row>
    <row r="37">
      <c r="B37" s="389" t="inlineStr">
        <is>
          <t>F23</t>
        </is>
      </c>
      <c r="C37" s="403" t="inlineStr">
        <is>
          <t>Transaccional</t>
        </is>
      </c>
      <c r="D37" s="362" t="inlineStr">
        <is>
          <t>Congruencia entre domicilio y lugar de operación</t>
        </is>
      </c>
      <c r="E37" s="402" t="n"/>
      <c r="F37" s="366">
        <f>IFERROR(INDEX(VARIABLES!$F:$F,MATCH($B37&amp;"|"&amp;$E37,VARIABLES!$H:$H,0)),0)</f>
        <v/>
      </c>
      <c r="G37" s="365" t="n">
        <v>0.03</v>
      </c>
      <c r="H37" s="366">
        <f>F37*G37</f>
        <v/>
      </c>
      <c r="I37" s="367" t="inlineStr">
        <is>
          <t>Derivado: A3 a) vi) / A4 a) v) contra el registro</t>
        </is>
      </c>
    </row>
    <row r="39" ht="20" customHeight="1" s="173">
      <c r="B39" s="357" t="inlineStr">
        <is>
          <t>RESULTADO POR FAMILIA  ·  Art. 23 Bis 2 fracciones I y II</t>
        </is>
      </c>
    </row>
    <row r="40">
      <c r="B40" s="360" t="inlineStr"/>
      <c r="C40" s="360" t="inlineStr">
        <is>
          <t>Familia de factores</t>
        </is>
      </c>
      <c r="D40" s="360" t="inlineStr">
        <is>
          <t>Calif.</t>
        </is>
      </c>
      <c r="E40" s="360" t="inlineStr">
        <is>
          <t>Peso</t>
        </is>
      </c>
      <c r="F40" s="360" t="inlineStr">
        <is>
          <t>Aporte</t>
        </is>
      </c>
      <c r="G40" s="360" t="inlineStr">
        <is>
          <t>Nivel</t>
        </is>
      </c>
    </row>
    <row r="41">
      <c r="B41" s="364" t="inlineStr">
        <is>
          <t>I</t>
        </is>
      </c>
      <c r="C41" s="362" t="inlineStr">
        <is>
          <t>Características inherentes</t>
        </is>
      </c>
      <c r="D41" s="366">
        <f>IFERROR(SUM(H15:H24)/SUM(G15:G24),0)</f>
        <v/>
      </c>
      <c r="E41" s="370" t="n">
        <v>0.45</v>
      </c>
      <c r="F41" s="366">
        <f>D41*E41</f>
        <v/>
      </c>
      <c r="G41" s="361">
        <f>IF(D41&gt;=3.67,"ALTO",IF(D41&gt;=2.34,"MEDIO","BAJO"))</f>
        <v/>
      </c>
    </row>
    <row r="42">
      <c r="B42" s="364" t="inlineStr">
        <is>
          <t>II</t>
        </is>
      </c>
      <c r="C42" s="362" t="inlineStr">
        <is>
          <t>Características transaccionales</t>
        </is>
      </c>
      <c r="D42" s="366">
        <f>IFERROR(SUM(H25:H37)/SUM(G25:G37),0)</f>
        <v/>
      </c>
      <c r="E42" s="370" t="n">
        <v>0.55</v>
      </c>
      <c r="F42" s="366">
        <f>D42*E42</f>
        <v/>
      </c>
      <c r="G42" s="361">
        <f>IF(D42&gt;=3.67,"ALTO",IF(D42&gt;=2.34,"MEDIO","BAJO"))</f>
        <v/>
      </c>
    </row>
    <row r="43">
      <c r="C43" s="371" t="inlineStr">
        <is>
          <t>Suma de los pesos de familia (debe ser 100 %)</t>
        </is>
      </c>
      <c r="E43" s="372">
        <f>SUM(E41:E42)</f>
        <v/>
      </c>
      <c r="G43" s="373">
        <f>IF(ABS(SUM(E41:E42)-1)&lt;=0.001,"OK","Corregir")</f>
        <v/>
      </c>
    </row>
    <row r="44">
      <c r="C44" s="410" t="inlineStr">
        <is>
          <t>Factores todavía sin elegir:</t>
        </is>
      </c>
      <c r="E44" s="414">
        <f>COUNTIF($F$15:$F$37,0)</f>
        <v/>
      </c>
      <c r="G44" s="415">
        <f>IF($E$44=0,"Completo: los 23 factores resueltos","Mientras haya factores sin elegir no se emite grado")</f>
        <v/>
      </c>
    </row>
    <row r="45" ht="20" customHeight="1" s="173">
      <c r="B45" s="357" t="inlineStr">
        <is>
          <t>GRADO DE RIESGO DEL CLIENTE</t>
        </is>
      </c>
    </row>
    <row r="46">
      <c r="B46" s="358" t="inlineStr">
        <is>
          <t>Calificación ponderada del Cliente (escala 1 a 5):</t>
        </is>
      </c>
      <c r="E46" s="404">
        <f>IFERROR(SUMPRODUCT(D41:D42,E41:E42)/SUM(E41:E42),0)</f>
        <v/>
      </c>
      <c r="F46" s="394" t="n"/>
    </row>
    <row r="47">
      <c r="B47" s="358" t="inlineStr">
        <is>
          <t>Grado base:</t>
        </is>
      </c>
      <c r="E47" s="405">
        <f>IF(COUNTIF($F$15:$F$37,0)&gt;0,"— faltan factores por elegir —",IF($E$46=0,"",IF($E$46&gt;=3.67,"ALTO",IF($E$46&gt;=2.34,"MEDIO","BAJO"))))</f>
        <v/>
      </c>
      <c r="F47" s="394" t="n"/>
    </row>
    <row r="48">
      <c r="B48" s="358" t="inlineStr">
        <is>
          <t>Regla obligatoria de riesgo alto (Art. 23 Bis 4):</t>
        </is>
      </c>
      <c r="E48" s="375">
        <f>IF(COUNTIF($F$15:$F$37,0)&gt;0,"Se evalúa cuando estén los 23 factores",IF(OR($E$20="PEP extranjera",AND($E$10="No",$E$11="Sí")),"Aplica: PEP extranjera o no residente vinculado a jurisdicción de régimen fiscal preferente o deficiente","No aplica"))</f>
        <v/>
      </c>
      <c r="F48" s="393" t="n"/>
      <c r="G48" s="393" t="n"/>
      <c r="H48" s="393" t="n"/>
      <c r="I48" s="394" t="n"/>
    </row>
    <row r="50">
      <c r="B50" s="376" t="inlineStr">
        <is>
          <t>GRADO DE RIESGO FINAL</t>
        </is>
      </c>
      <c r="E50" s="377">
        <f>IF(COUNTIF($F$15:$F$37,0)&gt;0,"SIN CLASIFICAR",IF(OR($E$20="PEP extranjera",AND($E$10="No",$E$11="Sí")),"ALTO",E47))</f>
        <v/>
      </c>
      <c r="G50" s="378">
        <f>IF(E50="ALTO","Debida diligencia reforzada: Arts. 23 Ter 3, 23 Ter 4 y 23 Ter 5","Régimen ordinario, sin perjuicio del expediente que corresponda")</f>
        <v/>
      </c>
    </row>
    <row r="51"/>
    <row r="53">
      <c r="B53" s="379" t="inlineStr">
        <is>
          <t>CÓMO SE LEE  ·  Alto = 5 · Medio = 3 · Bajo = 1, la misma escala de calificación de la hoja A1</t>
        </is>
      </c>
    </row>
    <row r="54">
      <c r="C54" s="406" t="inlineStr">
        <is>
          <t>BAJO</t>
        </is>
      </c>
      <c r="D54" s="364" t="inlineStr">
        <is>
          <t>1.00 a 2.33</t>
        </is>
      </c>
      <c r="E54" s="381" t="inlineStr">
        <is>
          <t>Expediente conforme al Art. 12; medidas simplificadas sólo si además la entidad es de riesgo bajo (Art. 15 del Reglamento).</t>
        </is>
      </c>
      <c r="F54" s="393" t="n"/>
      <c r="G54" s="393" t="n"/>
      <c r="H54" s="393" t="n"/>
      <c r="I54" s="394" t="n"/>
    </row>
    <row r="55">
      <c r="C55" s="406" t="inlineStr">
        <is>
          <t>MEDIO</t>
        </is>
      </c>
      <c r="D55" s="364" t="inlineStr">
        <is>
          <t>2.34 a 3.66</t>
        </is>
      </c>
      <c r="E55" s="381" t="inlineStr">
        <is>
          <t>Expediente completo del Art. 12 de las Reglas (Art. 17 Bis).</t>
        </is>
      </c>
      <c r="F55" s="393" t="n"/>
      <c r="G55" s="393" t="n"/>
      <c r="H55" s="393" t="n"/>
      <c r="I55" s="394" t="n"/>
    </row>
    <row r="56">
      <c r="C56" s="406" t="inlineStr">
        <is>
          <t>ALTO</t>
        </is>
      </c>
      <c r="D56" s="364" t="inlineStr">
        <is>
          <t>3.67 a 5.00</t>
        </is>
      </c>
      <c r="E56" s="381" t="inlineStr">
        <is>
          <t>Expediente reforzado: Arts. 23 Ter 3, 23 Ter 4 y, si además es PEP, 23 Ter 5.</t>
        </is>
      </c>
      <c r="F56" s="393" t="n"/>
      <c r="G56" s="393" t="n"/>
      <c r="H56" s="393" t="n"/>
      <c r="I56" s="394" t="n"/>
    </row>
    <row r="58" ht="20" customHeight="1" s="173">
      <c r="B58" s="357" t="inlineStr">
        <is>
          <t>SI EL GRADO ES ALTO — Debida Diligencia Reforzada</t>
        </is>
      </c>
    </row>
    <row r="59" ht="15" customHeight="1" s="173">
      <c r="B59" s="383" t="inlineStr">
        <is>
          <t>•  Art. 23 Ter 3 — Requerir mayor información sobre la actividad preponderante y aplicar revisión y monitoreo más estricto del comportamiento transaccional.</t>
        </is>
      </c>
    </row>
    <row r="60" ht="15" customHeight="1" s="173">
      <c r="B60" s="383" t="inlineStr">
        <is>
          <t>•  Art. 23 Ter 3 — Aplicar cuestionario de identificación sobre origen y destino de los recursos. Puede ser remoto, con Firma Electrónica de quien lo suscribe.</t>
        </is>
      </c>
    </row>
    <row r="61" ht="15" customHeight="1" s="173">
      <c r="B61" s="383" t="inlineStr">
        <is>
          <t>•  Art. 23 Ter 4 fr. I — Persona física: medidas reforzadas sobre origen y destino, y datos del cónyuge, dependientes económicos y vínculos patrimoniales.</t>
        </is>
      </c>
    </row>
    <row r="62" ht="15" customHeight="1" s="173">
      <c r="B62" s="383" t="inlineStr">
        <is>
          <t>•  Art. 23 Ter 4 fr. II — Persona moral: mayor información de accionistas o socios, verificando los datos en los registros electrónicos de la Secretaría de Economía.</t>
        </is>
      </c>
    </row>
    <row r="63" ht="15" customHeight="1" s="173">
      <c r="B63" s="383" t="inlineStr">
        <is>
          <t>•  Art. 23 Ter 5 — PEP con grado alto: aprobación previa de un directivo o equivalente. Si quien realiza la Actividad Vulnerable es persona física, se subsana con constancia motivada.</t>
        </is>
      </c>
    </row>
    <row r="64" ht="15" customHeight="1" s="173">
      <c r="B64" s="383" t="inlineStr">
        <is>
          <t>•  Art. 23 Bis 1 — Reevaluar el grado al menos cada seis meses, con mayor frecuencia mientras mayor sea el grado.</t>
        </is>
      </c>
    </row>
    <row r="66" ht="20" customHeight="1" s="173">
      <c r="B66" s="357" t="inlineStr">
        <is>
          <t>RÉGIMEN DE EXPEDIENTE  ·  dos ejes distintos, y ambos deben cumplirse para poder simplificar</t>
        </is>
      </c>
    </row>
    <row r="67">
      <c r="B67" s="358" t="inlineStr">
        <is>
          <t>Grado de riesgo final del CLIENTE:</t>
        </is>
      </c>
      <c r="E67" s="384">
        <f>$E$50</f>
        <v/>
      </c>
      <c r="F67" s="393" t="n"/>
      <c r="G67" s="394" t="n"/>
    </row>
    <row r="68">
      <c r="B68" s="358" t="inlineStr">
        <is>
          <t>Riesgo residual de la ENTIDAD (hoja A5):</t>
        </is>
      </c>
      <c r="E68" s="384">
        <f>'A5 RESIDUAL'!$G$13</f>
        <v/>
      </c>
      <c r="F68" s="393" t="n"/>
      <c r="G68" s="394" t="n"/>
    </row>
    <row r="69">
      <c r="B69" s="358" t="inlineStr">
        <is>
          <t>Expediente que debe integrarse:</t>
        </is>
      </c>
      <c r="E69" s="385">
        <f>IF($E$67="","",IF($E$67="ALTO","Expediente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Procede porque el Cliente es de riesgo bajo y la entidad también lo es (Art. 15 del Reglamento).","Expediente completo: aunque el Cliente es de riesgo bajo, la entidad no lo es, y el Art. 15 del Reglamento condiciona las medidas simplificadas a que quien realiza la Actividad Vulnerable sea de bajo riesgo."))))</f>
        <v/>
      </c>
      <c r="F69" s="395" t="n"/>
      <c r="G69" s="395" t="n"/>
      <c r="H69" s="395" t="n"/>
      <c r="I69" s="396" t="n"/>
    </row>
    <row r="70">
      <c r="E70" s="397" t="n"/>
      <c r="F70" s="398" t="n"/>
      <c r="G70" s="398" t="n"/>
      <c r="H70" s="398" t="n"/>
      <c r="I70" s="399" t="n"/>
    </row>
    <row r="72">
      <c r="B72" s="386" t="inlineStr">
        <is>
          <t>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t>
        </is>
      </c>
    </row>
    <row r="73"/>
    <row r="74"/>
  </sheetData>
  <mergeCells count="46">
    <mergeCell ref="B11:D11"/>
    <mergeCell ref="E10:G10"/>
    <mergeCell ref="B62:I62"/>
    <mergeCell ref="B67:D67"/>
    <mergeCell ref="G50:I51"/>
    <mergeCell ref="B48:D48"/>
    <mergeCell ref="B63:I63"/>
    <mergeCell ref="B8:D8"/>
    <mergeCell ref="E55:I55"/>
    <mergeCell ref="B3:I3"/>
    <mergeCell ref="E9:G9"/>
    <mergeCell ref="B59:I59"/>
    <mergeCell ref="B66:I66"/>
    <mergeCell ref="E8:I8"/>
    <mergeCell ref="B69:D69"/>
    <mergeCell ref="E48:I48"/>
    <mergeCell ref="B10:D10"/>
    <mergeCell ref="B58:I58"/>
    <mergeCell ref="B50:D51"/>
    <mergeCell ref="E11:G11"/>
    <mergeCell ref="B39:I39"/>
    <mergeCell ref="B72:I74"/>
    <mergeCell ref="B2:I2"/>
    <mergeCell ref="B9:D9"/>
    <mergeCell ref="E50:F51"/>
    <mergeCell ref="B60:I60"/>
    <mergeCell ref="B68:D68"/>
    <mergeCell ref="B61:I61"/>
    <mergeCell ref="B13:I13"/>
    <mergeCell ref="B53:I53"/>
    <mergeCell ref="E46:F46"/>
    <mergeCell ref="B4:I4"/>
    <mergeCell ref="B7:D7"/>
    <mergeCell ref="E68:G68"/>
    <mergeCell ref="B47:D47"/>
    <mergeCell ref="E7:I7"/>
    <mergeCell ref="B64:I64"/>
    <mergeCell ref="E67:G67"/>
    <mergeCell ref="B46:D46"/>
    <mergeCell ref="B6:I6"/>
    <mergeCell ref="E54:I54"/>
    <mergeCell ref="E69:I70"/>
    <mergeCell ref="B5:I5"/>
    <mergeCell ref="B45:I45"/>
    <mergeCell ref="E47:F47"/>
    <mergeCell ref="E56:I56"/>
  </mergeCells>
  <dataValidations count="25">
    <dataValidation sqref="E15" showDropDown="0" showInputMessage="0" showErrorMessage="0" allowBlank="0" type="list">
      <formula1>=V_F01</formula1>
    </dataValidation>
    <dataValidation sqref="E16" showDropDown="0" showInputMessage="0" showErrorMessage="0" allowBlank="0" type="list">
      <formula1>=V_F02</formula1>
    </dataValidation>
    <dataValidation sqref="E17" showDropDown="0" showInputMessage="0" showErrorMessage="0" allowBlank="0" type="list">
      <formula1>=V_F03</formula1>
    </dataValidation>
    <dataValidation sqref="E18" showDropDown="0" showInputMessage="0" showErrorMessage="0" allowBlank="0" type="list">
      <formula1>=V_F04</formula1>
    </dataValidation>
    <dataValidation sqref="E19" showDropDown="0" showInputMessage="0" showErrorMessage="0" allowBlank="0" type="list">
      <formula1>=V_F05</formula1>
    </dataValidation>
    <dataValidation sqref="E20" showDropDown="0" showInputMessage="0" showErrorMessage="0" allowBlank="0" type="list">
      <formula1>=V_F06</formula1>
    </dataValidation>
    <dataValidation sqref="E21" showDropDown="0" showInputMessage="0" showErrorMessage="0" allowBlank="0" type="list">
      <formula1>=V_F07</formula1>
    </dataValidation>
    <dataValidation sqref="E22" showDropDown="0" showInputMessage="0" showErrorMessage="0" allowBlank="0" type="list">
      <formula1>=V_F08</formula1>
    </dataValidation>
    <dataValidation sqref="E23" showDropDown="0" showInputMessage="0" showErrorMessage="0" allowBlank="0" type="list">
      <formula1>=V_F09</formula1>
    </dataValidation>
    <dataValidation sqref="E24" showDropDown="0" showInputMessage="0" showErrorMessage="0" allowBlank="0" type="list">
      <formula1>=V_F10</formula1>
    </dataValidation>
    <dataValidation sqref="E25" showDropDown="0" showInputMessage="0" showErrorMessage="0" allowBlank="0" type="list">
      <formula1>=V_F11</formula1>
    </dataValidation>
    <dataValidation sqref="E26" showDropDown="0" showInputMessage="0" showErrorMessage="0" allowBlank="0" type="list">
      <formula1>=V_F12</formula1>
    </dataValidation>
    <dataValidation sqref="E27" showDropDown="0" showInputMessage="0" showErrorMessage="0" allowBlank="0" type="list">
      <formula1>=V_F13</formula1>
    </dataValidation>
    <dataValidation sqref="E28" showDropDown="0" showInputMessage="0" showErrorMessage="0" allowBlank="0" type="list">
      <formula1>=V_F14</formula1>
    </dataValidation>
    <dataValidation sqref="E29" showDropDown="0" showInputMessage="0" showErrorMessage="0" allowBlank="0" type="list">
      <formula1>=V_F15</formula1>
    </dataValidation>
    <dataValidation sqref="E30" showDropDown="0" showInputMessage="0" showErrorMessage="0" allowBlank="0" type="list">
      <formula1>=V_F16</formula1>
    </dataValidation>
    <dataValidation sqref="E31" showDropDown="0" showInputMessage="0" showErrorMessage="0" allowBlank="0" type="list">
      <formula1>=V_F17</formula1>
    </dataValidation>
    <dataValidation sqref="E32" showDropDown="0" showInputMessage="0" showErrorMessage="0" allowBlank="0" type="list">
      <formula1>=V_F18</formula1>
    </dataValidation>
    <dataValidation sqref="E33" showDropDown="0" showInputMessage="0" showErrorMessage="0" allowBlank="0" type="list">
      <formula1>=V_F19</formula1>
    </dataValidation>
    <dataValidation sqref="E34" showDropDown="0" showInputMessage="0" showErrorMessage="0" allowBlank="0" type="list">
      <formula1>=V_F20</formula1>
    </dataValidation>
    <dataValidation sqref="E35" showDropDown="0" showInputMessage="0" showErrorMessage="0" allowBlank="0" type="list">
      <formula1>=V_F21</formula1>
    </dataValidation>
    <dataValidation sqref="E36" showDropDown="0" showInputMessage="0" showErrorMessage="0" allowBlank="0" type="list">
      <formula1>=V_F22</formula1>
    </dataValidation>
    <dataValidation sqref="E37" showDropDown="0" showInputMessage="0" showErrorMessage="0" allowBlank="0" type="list">
      <formula1>=V_F23</formula1>
    </dataValidation>
    <dataValidation sqref="E10" showDropDown="0" showInputMessage="0" showErrorMessage="0" allowBlank="0" type="list">
      <formula1>"Sí,No"</formula1>
    </dataValidation>
    <dataValidation sqref="E11" showDropDown="0" showInputMessage="0" showErrorMessage="0" allowBlank="0" type="list">
      <formula1>"Sí,No"</formula1>
    </dataValidation>
  </dataValidations>
  <pageMargins left="0.75" right="0.75" top="1" bottom="1" header="0.5" footer="0.5"/>
</worksheet>
</file>

<file path=xl/worksheets/sheet15.xml><?xml version="1.0" encoding="utf-8"?>
<worksheet xmlns="http://schemas.openxmlformats.org/spreadsheetml/2006/main">
  <sheetPr filterMode="0">
    <tabColor rgb="FF808080"/>
    <outlinePr summaryBelow="1" summaryRight="1"/>
    <pageSetUpPr fitToPage="0"/>
  </sheetPr>
  <dimension ref="B2:K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2" min="2" max="2"/>
    <col width="14" customWidth="1" style="172" min="3" max="3"/>
    <col width="42" customWidth="1" style="172" min="4" max="4"/>
    <col width="16" customWidth="1" style="172" min="5" max="7"/>
    <col width="20" customWidth="1" style="172" min="8" max="8"/>
    <col width="16" customWidth="1" style="172" min="9" max="9"/>
    <col width="30" customWidth="1" style="172" min="10" max="10"/>
    <col width="8" customWidth="1" style="172" min="11" max="11"/>
  </cols>
  <sheetData>
    <row r="2" ht="21.75" customHeight="1" s="173">
      <c r="B2" s="174" t="inlineStr">
        <is>
          <t>PARÁMETROS Y ESCALAS DE LA METODOLOGÍA</t>
        </is>
      </c>
    </row>
    <row r="3" ht="15" customHeight="1" s="173">
      <c r="B3" s="175" t="inlineStr">
        <is>
          <t>Base técnica reglas / CNBV / GAFILAT. Solo edita el valor de la UMA y el Nivel de Tolerancia.</t>
        </is>
      </c>
    </row>
    <row r="4" ht="15" customHeight="1" s="173">
      <c r="B4" s="177" t="inlineStr">
        <is>
          <t>Paso 0 de 10  ·  Se configura una vez  ·  Sigue: INICIO</t>
        </is>
      </c>
    </row>
    <row r="5" ht="15" customHeight="1" s="173">
      <c r="B5" s="178" t="inlineStr">
        <is>
          <t>ESCALA DE CALIFICACIÓN (qué tan riesgoso)</t>
        </is>
      </c>
      <c r="C5" s="179" t="n"/>
      <c r="D5" s="180" t="n"/>
      <c r="F5" s="178" t="inlineStr">
        <is>
          <t>ESCALA DE CONCENTRACIÓN (qué tan expuesto)</t>
        </is>
      </c>
      <c r="G5" s="179" t="n"/>
      <c r="H5" s="180" t="n"/>
    </row>
    <row r="6" ht="21.75" customHeight="1" s="173">
      <c r="B6" s="329" t="n">
        <v>1</v>
      </c>
      <c r="C6" s="291" t="inlineStr">
        <is>
          <t>Muy bajo</t>
        </is>
      </c>
      <c r="D6" s="326" t="inlineStr">
        <is>
          <t>Perfil de bajo riesgo</t>
        </is>
      </c>
      <c r="F6" s="329" t="n">
        <v>1</v>
      </c>
      <c r="G6" s="291" t="inlineStr">
        <is>
          <t>Mínima</t>
        </is>
      </c>
      <c r="H6" s="326" t="inlineStr">
        <is>
          <t>Casi nada del negocio expuesto</t>
        </is>
      </c>
    </row>
    <row r="7" ht="15" customHeight="1" s="173">
      <c r="B7" s="329" t="n">
        <v>2</v>
      </c>
      <c r="C7" s="291" t="inlineStr">
        <is>
          <t>Bajo</t>
        </is>
      </c>
      <c r="D7" s="326" t="inlineStr">
        <is>
          <t>Riesgo limitado</t>
        </is>
      </c>
      <c r="F7" s="329" t="n">
        <v>2</v>
      </c>
      <c r="G7" s="291" t="inlineStr">
        <is>
          <t>Baja</t>
        </is>
      </c>
      <c r="H7" s="326" t="inlineStr">
        <is>
          <t>Parte menor expuesta</t>
        </is>
      </c>
    </row>
    <row r="8" ht="15" customHeight="1" s="173">
      <c r="B8" s="329" t="n">
        <v>3</v>
      </c>
      <c r="C8" s="291" t="inlineStr">
        <is>
          <t>Medio</t>
        </is>
      </c>
      <c r="D8" s="326" t="inlineStr">
        <is>
          <t>Riesgo moderado</t>
        </is>
      </c>
      <c r="F8" s="329" t="n">
        <v>3</v>
      </c>
      <c r="G8" s="291" t="inlineStr">
        <is>
          <t>Media</t>
        </is>
      </c>
      <c r="H8" s="326" t="inlineStr">
        <is>
          <t>Parte relevante expuesta</t>
        </is>
      </c>
    </row>
    <row r="9" ht="15" customHeight="1" s="173">
      <c r="B9" s="329" t="n">
        <v>4</v>
      </c>
      <c r="C9" s="291" t="inlineStr">
        <is>
          <t>Alto</t>
        </is>
      </c>
      <c r="D9" s="326" t="inlineStr">
        <is>
          <t>Riesgo elevado</t>
        </is>
      </c>
      <c r="F9" s="329" t="n">
        <v>4</v>
      </c>
      <c r="G9" s="291" t="inlineStr">
        <is>
          <t>Alta</t>
        </is>
      </c>
      <c r="H9" s="326" t="inlineStr">
        <is>
          <t>Buena parte expuesta</t>
        </is>
      </c>
    </row>
    <row r="10" ht="21.75" customHeight="1" s="173">
      <c r="B10" s="329" t="n">
        <v>5</v>
      </c>
      <c r="C10" s="291" t="inlineStr">
        <is>
          <t>Muy alto</t>
        </is>
      </c>
      <c r="D10" s="326" t="inlineStr">
        <is>
          <t>Riesgo crítico</t>
        </is>
      </c>
      <c r="F10" s="329" t="n">
        <v>5</v>
      </c>
      <c r="G10" s="291" t="inlineStr">
        <is>
          <t>Muy alta</t>
        </is>
      </c>
      <c r="H10" s="326" t="inlineStr">
        <is>
          <t>La mayoría del negocio expuesto</t>
        </is>
      </c>
    </row>
    <row r="13" ht="15" customHeight="1" s="173">
      <c r="B13" s="178" t="inlineStr">
        <is>
          <t>NIVELES DE RIESGO (Calificación × Concentración)</t>
        </is>
      </c>
      <c r="C13" s="179" t="n"/>
      <c r="D13" s="179" t="n"/>
      <c r="E13" s="179" t="n"/>
      <c r="F13" s="180" t="n"/>
      <c r="H13" s="330" t="inlineStr">
        <is>
          <t>ESCALA DE EVALUACIÓN DE OBLIGACIONES (Art. 48 de las Reglas)</t>
        </is>
      </c>
      <c r="I13" s="179" t="n"/>
      <c r="J13" s="179" t="n"/>
      <c r="K13" s="180" t="n"/>
    </row>
    <row r="14" ht="15" customHeight="1" s="173">
      <c r="B14" s="290" t="inlineStr">
        <is>
          <t>Límite inf.</t>
        </is>
      </c>
      <c r="C14" s="290" t="inlineStr">
        <is>
          <t>De</t>
        </is>
      </c>
      <c r="D14" s="290" t="inlineStr">
        <is>
          <t>A</t>
        </is>
      </c>
      <c r="E14" s="290" t="inlineStr">
        <is>
          <t>Nivel</t>
        </is>
      </c>
      <c r="F14" s="290" t="inlineStr">
        <is>
          <t>Color</t>
        </is>
      </c>
      <c r="H14" s="250" t="inlineStr">
        <is>
          <t>Resultado</t>
        </is>
      </c>
      <c r="I14" s="250" t="inlineStr">
        <is>
          <t>Equivale a</t>
        </is>
      </c>
      <c r="J14" s="250" t="inlineStr">
        <is>
          <t>Cuándo se usa (Art. 48)</t>
        </is>
      </c>
      <c r="K14" s="180" t="n"/>
    </row>
    <row r="15" ht="15" customHeight="1" s="173">
      <c r="B15" s="325" t="n">
        <v>0</v>
      </c>
      <c r="C15" s="325" t="n">
        <v>1</v>
      </c>
      <c r="D15" s="325" t="n">
        <v>5</v>
      </c>
      <c r="E15" s="329" t="inlineStr">
        <is>
          <t>BAJO</t>
        </is>
      </c>
      <c r="F15" s="331" t="n"/>
      <c r="H15" s="332" t="inlineStr">
        <is>
          <t>Cumple</t>
        </is>
      </c>
      <c r="I15" s="333" t="n">
        <v>1</v>
      </c>
      <c r="J15" s="334" t="inlineStr">
        <is>
          <t>La eficacia del cumplimiento se demuestra y el auditor no recomienda mejoras.</t>
        </is>
      </c>
      <c r="K15" s="180" t="n"/>
    </row>
    <row r="16" ht="15" customHeight="1" s="173">
      <c r="B16" s="325" t="n">
        <v>5.01</v>
      </c>
      <c r="C16" s="325" t="n">
        <v>6</v>
      </c>
      <c r="D16" s="325" t="n">
        <v>9</v>
      </c>
      <c r="E16" s="329" t="inlineStr">
        <is>
          <t>MEDIO BAJO</t>
        </is>
      </c>
      <c r="F16" s="335" t="n"/>
      <c r="H16" s="332" t="inlineStr">
        <is>
          <t>Cumple mayoritariamente</t>
        </is>
      </c>
      <c r="I16" s="333" t="n">
        <v>0.75</v>
      </c>
      <c r="J16" s="334" t="inlineStr">
        <is>
          <t>La eficacia no se demuestra por completo; hay al menos una recomendación de mejora.</t>
        </is>
      </c>
      <c r="K16" s="180" t="n"/>
    </row>
    <row r="17" ht="15" customHeight="1" s="173">
      <c r="B17" s="325" t="n">
        <v>9.01</v>
      </c>
      <c r="C17" s="325" t="n">
        <v>10</v>
      </c>
      <c r="D17" s="325" t="n">
        <v>12</v>
      </c>
      <c r="E17" s="329" t="inlineStr">
        <is>
          <t>MEDIO</t>
        </is>
      </c>
      <c r="F17" s="336" t="n"/>
      <c r="H17" s="332" t="inlineStr">
        <is>
          <t>Cumple parcialmente</t>
        </is>
      </c>
      <c r="I17" s="333" t="n">
        <v>0.4</v>
      </c>
      <c r="J17" s="334" t="inlineStr">
        <is>
          <t>La eficacia no se demuestra por no contar con evidencia objetiva; hay al menos un hallazgo.</t>
        </is>
      </c>
      <c r="K17" s="180" t="n"/>
    </row>
    <row r="18" ht="15" customHeight="1" s="173">
      <c r="B18" s="325" t="n">
        <v>12.01</v>
      </c>
      <c r="C18" s="325" t="n">
        <v>13</v>
      </c>
      <c r="D18" s="325" t="n">
        <v>16</v>
      </c>
      <c r="E18" s="329" t="inlineStr">
        <is>
          <t>MEDIO ALTO</t>
        </is>
      </c>
      <c r="F18" s="337" t="n"/>
      <c r="H18" s="332" t="inlineStr">
        <is>
          <t>No cumple</t>
        </is>
      </c>
      <c r="I18" s="333" t="n">
        <v>0</v>
      </c>
      <c r="J18" s="334" t="inlineStr">
        <is>
          <t>No cubre los elementos necesarios o actualiza una sanción. No mitiga: computa 0%.</t>
        </is>
      </c>
      <c r="K18" s="180" t="n"/>
    </row>
    <row r="19" ht="15" customHeight="1" s="173">
      <c r="B19" s="325" t="n">
        <v>16.01</v>
      </c>
      <c r="C19" s="325" t="n">
        <v>17</v>
      </c>
      <c r="D19" s="325" t="n">
        <v>25</v>
      </c>
      <c r="E19" s="329" t="inlineStr">
        <is>
          <t>ALTO</t>
        </is>
      </c>
      <c r="F19" s="338" t="n"/>
      <c r="H19" s="332" t="inlineStr">
        <is>
          <t>No aplica</t>
        </is>
      </c>
      <c r="I19" s="333" t="inlineStr">
        <is>
          <t>—</t>
        </is>
      </c>
      <c r="J19" s="334" t="inlineStr">
        <is>
          <t>La obligación no es exigible (Art. 37 Bis 2). Sale del numerador y del denominador.</t>
        </is>
      </c>
      <c r="K19" s="180" t="n"/>
    </row>
    <row r="20" ht="23.25" customHeight="1" s="173">
      <c r="H20" s="181" t="n"/>
      <c r="I20" s="218" t="n"/>
      <c r="J20" s="326" t="n"/>
      <c r="K20" s="180" t="n"/>
    </row>
    <row r="21" ht="15" customHeight="1" s="173">
      <c r="H21" s="240" t="inlineStr">
        <is>
          <t>Editable (celdas amarillas): es el porcentaje que reconoces a cada resultado del Art. 48. «No cumple» vale 0% porque puede actualizar una sanción: no puede mitigar. «No aplica» no tiene porcentaje: la obligación sale del numerador y del denominador conforme al Art. 37 Bis 2.</t>
        </is>
      </c>
    </row>
    <row r="22" ht="57" customHeight="1" s="173">
      <c r="B22" s="187" t="inlineStr">
        <is>
          <t>VALOR DIARIO DE LA UMA (MXN) — actualízalo cada año:</t>
        </is>
      </c>
      <c r="C22" s="339" t="n">
        <v>117.31</v>
      </c>
      <c r="D22" s="175" t="inlineStr">
        <is>
          <t>Vigente desde 1-feb-2026 (INEGI). Recalcula los umbrales MXN del catálogo.</t>
        </is>
      </c>
    </row>
    <row r="24" ht="15" customHeight="1" s="173">
      <c r="B24" s="178" t="inlineStr">
        <is>
          <t>NIVEL DE TOLERANCIA AL RIESGO (editable)</t>
        </is>
      </c>
      <c r="C24" s="179" t="n"/>
      <c r="D24" s="180" t="n"/>
    </row>
    <row r="25" ht="34.5" customHeight="1" s="173">
      <c r="B25" s="181" t="inlineStr">
        <is>
          <t>Riesgo máximo aceptable:</t>
        </is>
      </c>
      <c r="C25" s="266" t="inlineStr">
        <is>
          <t>MEDIO</t>
        </is>
      </c>
    </row>
    <row r="28" ht="21" customHeight="1" s="173">
      <c r="B28" s="216" t="inlineStr">
        <is>
          <t>MITIGACIÓN: TOPE MÁXIMO DE REDUCCIÓN (editable)</t>
        </is>
      </c>
    </row>
    <row r="29" ht="15" customHeight="1" s="173">
      <c r="B29" s="228" t="inlineStr">
        <is>
          <t>La efectividad promedio de tus mitigantes no se traslada íntegra al resultado: se multiplica por este tope. Con 50%, aunque todos tus controles fueran Óptimos, el riesgo inherente se reduce a la mitad y nunca a cero. El control mitiga, no elimina.</t>
        </is>
      </c>
    </row>
    <row r="30" ht="15" customHeight="1" s="173">
      <c r="B30" s="271" t="inlineStr">
        <is>
          <t>Tope de reducción:</t>
        </is>
      </c>
      <c r="C30" s="218" t="n">
        <v>0.5</v>
      </c>
    </row>
    <row r="31" ht="15" customHeight="1" s="173">
      <c r="B31" s="270" t="inlineStr">
        <is>
          <t>Reducción aplicada = Efectividad del catálogo de controles mínimos (hoja A4 CONTROLES MINIMOS) × Tope de reducción.</t>
        </is>
      </c>
    </row>
    <row r="32" ht="15" customHeight="1" s="173">
      <c r="B32" s="270" t="inlineStr">
        <is>
          <t>Riesgo residual = Riesgo inherente × (1 − Reducción aplicada). La misma reducción se aplica al indicador, al elemento y a la entidad.</t>
        </is>
      </c>
    </row>
    <row r="33" ht="15" customHeight="1" s="173">
      <c r="B33" s="202" t="inlineStr">
        <is>
          <t>Si subes el tope, súbelo con criterio escrito: en Actividades Vulnerables el nivel de riesgo tiene consecuencias automáticas (régimen de auditoría del Cap. XIV y medidas simplificadas del Art. 15 del Reglamento). Un tope generoso no es un ahorro: es una exposición.</t>
        </is>
      </c>
    </row>
    <row r="38" ht="21" customHeight="1" s="173">
      <c r="B38" s="216" t="inlineStr">
        <is>
          <t>CRITERIOS DE CALIBRACIÓN DOCUMENTADOS (por qué el número es el que es)</t>
        </is>
      </c>
    </row>
    <row r="39" ht="15" customHeight="1" s="173">
      <c r="B39" s="178" t="inlineStr">
        <is>
          <t>Regla</t>
        </is>
      </c>
      <c r="C39" s="180" t="n"/>
      <c r="D39" s="178" t="inlineStr">
        <is>
          <t>Fórmula</t>
        </is>
      </c>
      <c r="E39" s="178" t="inlineStr">
        <is>
          <t>Criterio y por qué</t>
        </is>
      </c>
      <c r="F39" s="179" t="n"/>
      <c r="G39" s="179" t="n"/>
      <c r="H39" s="179" t="n"/>
      <c r="I39" s="179" t="n"/>
      <c r="J39" s="180" t="n"/>
    </row>
    <row r="40" ht="30" customHeight="1" s="173">
      <c r="B40" s="227" t="inlineStr">
        <is>
          <t>Calificación</t>
        </is>
      </c>
      <c r="C40" s="180" t="n"/>
      <c r="D40" s="312" t="inlineStr">
        <is>
          <t>5×%Alto + 3×%Medio + 1×%Bajo, redondeado</t>
        </is>
      </c>
      <c r="E40" s="312" t="inlineStr">
        <is>
          <t>Escala de 1 a 5 ponderada por la proporción real del negocio en cada perfil. No es un promedio de opiniones: es la mezcla declarada en A1.</t>
        </is>
      </c>
      <c r="F40" s="179" t="n"/>
      <c r="G40" s="179" t="n"/>
      <c r="H40" s="179" t="n"/>
      <c r="I40" s="179" t="n"/>
      <c r="J40" s="180" t="n"/>
    </row>
    <row r="41" ht="43.5" customHeight="1" s="173">
      <c r="B41" s="227" t="inlineStr">
        <is>
          <t>Concentración</t>
        </is>
      </c>
      <c r="C41" s="180" t="n"/>
      <c r="D41" s="312" t="inlineStr">
        <is>
          <t>1 + 4×(%Alto + %Medio), redondeado</t>
        </is>
      </c>
      <c r="E41" s="312" t="inlineStr">
        <is>
          <t>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is>
      </c>
      <c r="F41" s="179" t="n"/>
      <c r="G41" s="179" t="n"/>
      <c r="H41" s="179" t="n"/>
      <c r="I41" s="179" t="n"/>
      <c r="J41" s="180" t="n"/>
    </row>
    <row r="42" ht="30" customHeight="1" s="173">
      <c r="B42" s="227" t="inlineStr">
        <is>
          <t>Riesgo inherente</t>
        </is>
      </c>
      <c r="C42" s="180" t="n"/>
      <c r="D42" s="312" t="inlineStr">
        <is>
          <t>Calificación × Concentración</t>
        </is>
      </c>
      <c r="E42" s="312" t="inlineStr">
        <is>
          <t>Rango de 1 a 25. Los cortes entre BAJO, MEDIO BAJO, MEDIO, MEDIO ALTO y ALTO son los de la tabla de niveles de esta misma hoja y pueden editarse.</t>
        </is>
      </c>
      <c r="F42" s="179" t="n"/>
      <c r="G42" s="179" t="n"/>
      <c r="H42" s="179" t="n"/>
      <c r="I42" s="179" t="n"/>
      <c r="J42" s="180" t="n"/>
    </row>
    <row r="43" ht="51.75" customHeight="1" s="173">
      <c r="B43" s="227" t="inlineStr">
        <is>
          <t>Riesgo residual</t>
        </is>
      </c>
      <c r="C43" s="180" t="n"/>
      <c r="D43" s="312" t="inlineStr">
        <is>
          <t>Riesgo inherente × (1 − Reducción aplicada)</t>
        </is>
      </c>
      <c r="E43" s="312" t="inlineStr">
        <is>
          <t>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is>
      </c>
      <c r="F43" s="179" t="n"/>
      <c r="G43" s="179" t="n"/>
      <c r="H43" s="179" t="n"/>
      <c r="I43" s="179" t="n"/>
      <c r="J43" s="180" t="n"/>
    </row>
    <row r="44" ht="30" customHeight="1" s="173">
      <c r="B44" s="227" t="inlineStr">
        <is>
          <t>Peso de los indicadores</t>
        </is>
      </c>
      <c r="C44" s="180" t="n"/>
      <c r="D44" s="312" t="inlineStr">
        <is>
          <t>Relativo dentro de cada elemento (A1, columna Peso)</t>
        </is>
      </c>
      <c r="E44" s="312" t="inlineStr">
        <is>
          <t>El cálculo es un promedio ponderado, así que los pesos se normalizan solos: no tienen que sumar 1. Lo que importa es la proporción entre ellos.</t>
        </is>
      </c>
      <c r="F44" s="179" t="n"/>
      <c r="G44" s="179" t="n"/>
      <c r="H44" s="179" t="n"/>
      <c r="I44" s="179" t="n"/>
      <c r="J44" s="180" t="n"/>
    </row>
    <row r="45" ht="43.5" customHeight="1" s="173">
      <c r="B45" s="227" t="inlineStr">
        <is>
          <t>Peso de los elementos</t>
        </is>
      </c>
      <c r="C45" s="180" t="n"/>
      <c r="D45" s="312" t="inlineStr">
        <is>
          <t>Debe sumar 100% (A1, celdas D35:D38)</t>
        </is>
      </c>
      <c r="E45" s="312" t="inlineStr">
        <is>
          <t>Se captura y se justifica por escrito en la propia hoja A1 (Art. 10 Septies 1, fr. II: el valor se asigna en función de la importancia del elemento). Un reparto plano de 25/25/25/25 sin justificación se lee como que no se ponderó.</t>
        </is>
      </c>
      <c r="F45" s="179" t="n"/>
      <c r="G45" s="179" t="n"/>
      <c r="H45" s="179" t="n"/>
      <c r="I45" s="179" t="n"/>
      <c r="J45" s="180" t="n"/>
    </row>
    <row r="47" ht="15" customHeight="1" s="173">
      <c r="B47" s="228" t="inlineStr">
        <is>
          <t>Estos criterios forman parte de la metodología que debe describirse en el Manual (Art. 10 Septies, segundo párrafo). Si cambias un criterio, cámbialo también ahí.</t>
        </is>
      </c>
    </row>
  </sheetData>
  <mergeCells count="28">
    <mergeCell ref="H13:K13"/>
    <mergeCell ref="F5:H5"/>
    <mergeCell ref="J14:K14"/>
    <mergeCell ref="E40:J40"/>
    <mergeCell ref="J19:K19"/>
    <mergeCell ref="B38:J38"/>
    <mergeCell ref="B43:C43"/>
    <mergeCell ref="B39:C39"/>
    <mergeCell ref="B28:G28"/>
    <mergeCell ref="J15:K15"/>
    <mergeCell ref="E45:J45"/>
    <mergeCell ref="B42:C42"/>
    <mergeCell ref="B24:D24"/>
    <mergeCell ref="B13:F13"/>
    <mergeCell ref="E41:J41"/>
    <mergeCell ref="B44:C44"/>
    <mergeCell ref="B5:D5"/>
    <mergeCell ref="J20:K20"/>
    <mergeCell ref="J16:K16"/>
    <mergeCell ref="E43:J43"/>
    <mergeCell ref="B40:C40"/>
    <mergeCell ref="E42:J42"/>
    <mergeCell ref="B45:C45"/>
    <mergeCell ref="J18:K18"/>
    <mergeCell ref="E39:J39"/>
    <mergeCell ref="B41:C41"/>
    <mergeCell ref="E44:J44"/>
    <mergeCell ref="J17:K17"/>
  </mergeCells>
  <dataValidations count="1">
    <dataValidation sqref="C25" showDropDown="0" showInputMessage="0" showErrorMessage="0" allowBlank="0" type="list" errorStyle="stop" operator="between">
      <formula1>"BAJO,MEDIO BAJO,MEDIO,MEDIO ALTO,ALTO"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808080"/>
    <outlinePr summaryBelow="1" summaryRight="1"/>
    <pageSetUpPr fitToPage="0"/>
  </sheetPr>
  <dimension ref="B2:O3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4" customWidth="1" style="172" min="2" max="2"/>
    <col width="9" customWidth="1" style="172" min="3" max="3"/>
    <col width="34" customWidth="1" style="172" min="4" max="4"/>
    <col width="13" customWidth="1" style="172" min="5" max="5"/>
    <col width="12" customWidth="1" style="172" min="6" max="7"/>
    <col width="15" customWidth="1" style="172" min="8" max="9"/>
    <col width="38" customWidth="1" style="172" min="10" max="12"/>
    <col width="32" customWidth="1" style="172" min="13" max="13"/>
    <col width="30" customWidth="1" style="172" min="14" max="15"/>
  </cols>
  <sheetData>
    <row r="2" ht="21.75" customHeight="1" s="173">
      <c r="B2" s="174" t="inlineStr">
        <is>
          <t>CATÁLOGO DE ACTIVIDADES VULNERABLES (Art. 17 LFPIORPI)</t>
        </is>
      </c>
    </row>
    <row r="3" ht="15" customHeight="1" s="173">
      <c r="B3" s="175" t="inlineStr">
        <is>
          <t>La actividad elegida en INICIO precarga umbrales, características y evento típico.</t>
        </is>
      </c>
    </row>
    <row r="4" ht="15" customHeight="1" s="173">
      <c r="B4" s="177" t="inlineStr">
        <is>
          <t>Referencia: no se edita. La actividad se elige en INICIO.</t>
        </is>
      </c>
    </row>
    <row r="5" ht="34.5" customHeight="1" s="173">
      <c r="B5" s="178" t="inlineStr">
        <is>
          <t>#</t>
        </is>
      </c>
      <c r="C5" s="178" t="inlineStr">
        <is>
          <t>Fracción</t>
        </is>
      </c>
      <c r="D5" s="178" t="inlineStr">
        <is>
          <t>Actividad Vulnerable</t>
        </is>
      </c>
      <c r="E5" s="178" t="inlineStr">
        <is>
          <t>Actividad (elegir en INICIO)</t>
        </is>
      </c>
      <c r="F5" s="178" t="inlineStr">
        <is>
          <t>Umbral identificación (UMA)</t>
        </is>
      </c>
      <c r="G5" s="178" t="inlineStr">
        <is>
          <t>Umbral aviso (UMA)</t>
        </is>
      </c>
      <c r="H5" s="178" t="inlineStr">
        <is>
          <t>Umbral identificación (MXN)</t>
        </is>
      </c>
      <c r="I5" s="178" t="inlineStr">
        <is>
          <t>Umbral aviso (MXN)</t>
        </is>
      </c>
      <c r="J5" s="178" t="inlineStr">
        <is>
          <t>Características ALTO</t>
        </is>
      </c>
      <c r="K5" s="178" t="inlineStr">
        <is>
          <t>Características MEDIO</t>
        </is>
      </c>
      <c r="L5" s="178" t="inlineStr">
        <is>
          <t>Características BAJO</t>
        </is>
      </c>
      <c r="M5" s="178" t="inlineStr">
        <is>
          <t>Evento típico</t>
        </is>
      </c>
      <c r="N5" s="178" t="inlineStr">
        <is>
          <t>Causa</t>
        </is>
      </c>
      <c r="O5" s="178" t="inlineStr">
        <is>
          <t>Consecuencia</t>
        </is>
      </c>
    </row>
    <row r="6" ht="32.25" customHeight="1" s="173">
      <c r="B6" s="340" t="n">
        <v>1</v>
      </c>
      <c r="C6" s="340" t="inlineStr">
        <is>
          <t>I</t>
        </is>
      </c>
      <c r="D6" s="340" t="inlineStr">
        <is>
          <t>Juegos con apuesta</t>
        </is>
      </c>
      <c r="E6" s="340" t="inlineStr">
        <is>
          <t>I - Juegos con apuesta</t>
        </is>
      </c>
      <c r="F6" s="341" t="n">
        <v>325</v>
      </c>
      <c r="G6" s="341" t="n">
        <v>645</v>
      </c>
      <c r="H6" s="342">
        <f>IF(ISNUMBER($F6),$F6*PARAMETROS!$C$22,$F6)</f>
        <v/>
      </c>
      <c r="I6" s="342">
        <f>IF(ISNUMBER($G6),$G6*PARAMETROS!$C$22,$G6)</f>
        <v/>
      </c>
      <c r="J6" s="340" t="inlineStr">
        <is>
          <t>Apuestas en efectivo de alto monto, clientes no frecuentes o extranjeros, apuestas en línea sin trazabilidad clara.</t>
        </is>
      </c>
      <c r="K6" s="340" t="inlineStr">
        <is>
          <t>Apuestas mixtas (efectivo y transferencia), montos moderados, clientes recurrentes.</t>
        </is>
      </c>
      <c r="L6" s="340" t="inlineStr">
        <is>
          <t>Apuestas con tarjeta bancaria o monederos electrónicos, montos bajos y clientes identificables.</t>
        </is>
      </c>
      <c r="M6" s="340" t="inlineStr">
        <is>
          <t>Introducción de efectivo ilícito en casinos o plataformas.</t>
        </is>
      </c>
      <c r="N6" s="340" t="inlineStr">
        <is>
          <t>Uso intensivo de efectivo, dispersión de apuestas.</t>
        </is>
      </c>
      <c r="O6" s="340" t="inlineStr">
        <is>
          <t>Integración de dinero ilícito, sanciones a la entidad, pérdida de licencia.</t>
        </is>
      </c>
    </row>
    <row r="7" ht="32.25" customHeight="1" s="173">
      <c r="B7" s="340" t="n">
        <v>2</v>
      </c>
      <c r="C7" s="340" t="inlineStr">
        <is>
          <t>II</t>
        </is>
      </c>
      <c r="D7" s="340" t="inlineStr">
        <is>
          <t>Tarjetas de crédito o servicios</t>
        </is>
      </c>
      <c r="E7" s="340" t="inlineStr">
        <is>
          <t>II - Tarjetas de crédito o servicios</t>
        </is>
      </c>
      <c r="F7" s="341" t="n">
        <v>805</v>
      </c>
      <c r="G7" s="341" t="n">
        <v>1285</v>
      </c>
      <c r="H7" s="342">
        <f>IF(ISNUMBER($F7),$F7*PARAMETROS!$C$22,$F7)</f>
        <v/>
      </c>
      <c r="I7" s="342">
        <f>IF(ISNUMBER($G7),$G7*PARAMETROS!$C$22,$G7)</f>
        <v/>
      </c>
      <c r="J7" s="340" t="inlineStr">
        <is>
          <t>Uso de tarjetas emitidas en el extranjero o con líneas de crédito inusualmente altas.</t>
        </is>
      </c>
      <c r="K7" s="340" t="inlineStr">
        <is>
          <t>Tarjetas nacionales con uso mixto (efectivo/transferencias) y movimientos atípicos.</t>
        </is>
      </c>
      <c r="L7" s="340" t="inlineStr">
        <is>
          <t>Tarjetas nacionales de clientes con historial crediticio claro y montos habituales.</t>
        </is>
      </c>
      <c r="M7" s="340" t="inlineStr">
        <is>
          <t>Uso de tarjetas para dispersar fondos ilícitos o triangular pagos.</t>
        </is>
      </c>
      <c r="N7" s="340" t="inlineStr">
        <is>
          <t>Montos elevados sin justificación económica.</t>
        </is>
      </c>
      <c r="O7" s="340" t="inlineStr">
        <is>
          <t>Detección por UIF, congelamiento de cuentas, sanciones.</t>
        </is>
      </c>
    </row>
    <row r="8" ht="42.75" customHeight="1" s="173">
      <c r="B8" s="340" t="n">
        <v>3</v>
      </c>
      <c r="C8" s="340" t="inlineStr">
        <is>
          <t>II</t>
        </is>
      </c>
      <c r="D8" s="340" t="inlineStr">
        <is>
          <t>Tarjetas prepagadas y monederos electrónicos</t>
        </is>
      </c>
      <c r="E8" s="340" t="inlineStr">
        <is>
          <t>II - Tarjetas prepagadas y monederos electrónicos</t>
        </is>
      </c>
      <c r="F8" s="341" t="n">
        <v>645</v>
      </c>
      <c r="G8" s="341" t="n">
        <v>645</v>
      </c>
      <c r="H8" s="342">
        <f>IF(ISNUMBER($F8),$F8*PARAMETROS!$C$22,$F8)</f>
        <v/>
      </c>
      <c r="I8" s="342">
        <f>IF(ISNUMBER($G8),$G8*PARAMETROS!$C$22,$G8)</f>
        <v/>
      </c>
      <c r="J8" s="340" t="inlineStr">
        <is>
          <t>Tarjetas recargables en efectivo de alto monto, adquiridas de forma masiva.</t>
        </is>
      </c>
      <c r="K8" s="340" t="inlineStr">
        <is>
          <t>Tarjetas con recargas mixtas (efectivo y transferencia), uso en varios comercios.</t>
        </is>
      </c>
      <c r="L8" s="340" t="inlineStr">
        <is>
          <t>Tarjetas con recarga en cuenta bancaria, límites bajos y trazables.</t>
        </is>
      </c>
      <c r="M8" s="340" t="inlineStr">
        <is>
          <t>Uso de monederos para dispersión y anonimato en transacciones.</t>
        </is>
      </c>
      <c r="N8" s="340" t="inlineStr">
        <is>
          <t>Bajo nivel de identificación en productos masivos.</t>
        </is>
      </c>
      <c r="O8" s="340" t="inlineStr">
        <is>
          <t>Riesgo de operaciones estructuradas y financiamiento ilícito.</t>
        </is>
      </c>
    </row>
    <row r="9" ht="21.75" customHeight="1" s="173">
      <c r="B9" s="340" t="n">
        <v>4</v>
      </c>
      <c r="C9" s="340" t="inlineStr">
        <is>
          <t>III</t>
        </is>
      </c>
      <c r="D9" s="340" t="inlineStr">
        <is>
          <t>Cheques de viajero</t>
        </is>
      </c>
      <c r="E9" s="340" t="inlineStr">
        <is>
          <t>III - Cheques de viajero</t>
        </is>
      </c>
      <c r="F9" s="341" t="inlineStr">
        <is>
          <t>Siempre</t>
        </is>
      </c>
      <c r="G9" s="341" t="n">
        <v>645</v>
      </c>
      <c r="H9" s="342">
        <f>IF(ISNUMBER($F9),$F9*PARAMETROS!$C$22,$F9)</f>
        <v/>
      </c>
      <c r="I9" s="342">
        <f>IF(ISNUMBER($G9),$G9*PARAMETROS!$C$22,$G9)</f>
        <v/>
      </c>
      <c r="J9" s="340" t="inlineStr">
        <is>
          <t>Emisión o adquisición en efectivo, altos montos, operaciones internacionales.</t>
        </is>
      </c>
      <c r="K9" s="340" t="inlineStr">
        <is>
          <t>Cheques adquiridos con mezcla de efectivo y transferencias, uso ocasional.</t>
        </is>
      </c>
      <c r="L9" s="340" t="inlineStr">
        <is>
          <t>Cheques adquiridos con transferencias desde cuentas bancarias de clientes identificados.</t>
        </is>
      </c>
      <c r="M9" s="340" t="inlineStr">
        <is>
          <t>Introducción de recursos ilícitos vía instrumentos internacionales.</t>
        </is>
      </c>
      <c r="N9" s="340" t="inlineStr">
        <is>
          <t>Facilidad de portabilidad y canje en múltiples países.</t>
        </is>
      </c>
      <c r="O9" s="340" t="inlineStr">
        <is>
          <t>Riesgo transfronterizo, sanciones regulatorias, congelamiento de fondos.</t>
        </is>
      </c>
    </row>
    <row r="10" ht="32.25" customHeight="1" s="173">
      <c r="B10" s="340" t="n">
        <v>5</v>
      </c>
      <c r="C10" s="340" t="inlineStr">
        <is>
          <t>IV</t>
        </is>
      </c>
      <c r="D10" s="340" t="inlineStr">
        <is>
          <t>Préstamos o créditos</t>
        </is>
      </c>
      <c r="E10" s="340" t="inlineStr">
        <is>
          <t>IV - Préstamos o créditos</t>
        </is>
      </c>
      <c r="F10" s="341" t="inlineStr">
        <is>
          <t>Siempre</t>
        </is>
      </c>
      <c r="G10" s="341" t="n">
        <v>1605</v>
      </c>
      <c r="H10" s="342">
        <f>IF(ISNUMBER($F10),$F10*PARAMETROS!$C$22,$F10)</f>
        <v/>
      </c>
      <c r="I10" s="342">
        <f>IF(ISNUMBER($G10),$G10*PARAMETROS!$C$22,$G10)</f>
        <v/>
      </c>
      <c r="J10" s="340" t="inlineStr">
        <is>
          <t>Créditos en efectivo, sin garantía real, de monto elevado o a corto plazo, susceptibles de ser liquidados anticipadamente.</t>
        </is>
      </c>
      <c r="K10" s="340" t="inlineStr">
        <is>
          <t>Créditos personales o comerciales de mediano plazo, con garantía parcial o con pagos mixtos (efectivo y transferencia).</t>
        </is>
      </c>
      <c r="L10" s="340" t="inlineStr">
        <is>
          <t>Créditos hipotecarios, automotrices o empresariales con garantías reales, pagos periódicos y trazables vía sistema financiero.</t>
        </is>
      </c>
      <c r="M10" s="340" t="inlineStr">
        <is>
          <t>Uso del crédito para inyectar recursos ilícitos y justificar flujos financieros.</t>
        </is>
      </c>
      <c r="N10" s="340" t="inlineStr">
        <is>
          <t>Flexibilidad de los productos de crédito, posibilidad de pagos en efectivo.</t>
        </is>
      </c>
      <c r="O10" s="340" t="inlineStr">
        <is>
          <t>Riesgo de introducir fondos ilícitos disfrazados de financiamiento.</t>
        </is>
      </c>
    </row>
    <row r="11" ht="42.75" customHeight="1" s="173">
      <c r="B11" s="340" t="n">
        <v>6</v>
      </c>
      <c r="C11" s="340" t="inlineStr">
        <is>
          <t>V</t>
        </is>
      </c>
      <c r="D11" s="340" t="inlineStr">
        <is>
          <t>Construcción/comercialización inmuebles</t>
        </is>
      </c>
      <c r="E11" s="340" t="inlineStr">
        <is>
          <t>V - Construcción/comercialización inmuebles</t>
        </is>
      </c>
      <c r="F11" s="341" t="inlineStr">
        <is>
          <t>Siempre</t>
        </is>
      </c>
      <c r="G11" s="341" t="n">
        <v>8025</v>
      </c>
      <c r="H11" s="342">
        <f>IF(ISNUMBER($F11),$F11*PARAMETROS!$C$22,$F11)</f>
        <v/>
      </c>
      <c r="I11" s="342">
        <f>IF(ISNUMBER($G11),$G11*PARAMETROS!$C$22,$G11)</f>
        <v/>
      </c>
      <c r="J11" s="340" t="inlineStr">
        <is>
          <t>Venta de inmuebles de lujo o múltiples operaciones en preventa con pagos en efectivo.</t>
        </is>
      </c>
      <c r="K11" s="340" t="inlineStr">
        <is>
          <t>Venta de inmuebles de valor medio con esquema de pagos mixtos (efectivo + transferencias).</t>
        </is>
      </c>
      <c r="L11" s="340" t="inlineStr">
        <is>
          <t>Venta de inmuebles de interés social o vivienda regulada con créditos hipotecarios bancarios.</t>
        </is>
      </c>
      <c r="M11" s="340" t="inlineStr">
        <is>
          <t>Uso de operaciones inmobiliarias para introducir o estratificar fondos ilícitos.</t>
        </is>
      </c>
      <c r="N11" s="340" t="inlineStr">
        <is>
          <t>Altos montos y posibilidad de pagos fragmentados.</t>
        </is>
      </c>
      <c r="O11" s="340" t="inlineStr">
        <is>
          <t>Riesgo de sobrevaluación, lavado de activos y sanciones.</t>
        </is>
      </c>
    </row>
    <row r="12" ht="53.25" customHeight="1" s="173">
      <c r="B12" s="340" t="n">
        <v>7</v>
      </c>
      <c r="C12" s="340" t="inlineStr">
        <is>
          <t>V Bis</t>
        </is>
      </c>
      <c r="D12" s="340" t="inlineStr">
        <is>
          <t>Recepción recursos desarrollo inmobiliario</t>
        </is>
      </c>
      <c r="E12" s="340" t="inlineStr">
        <is>
          <t>V Bis - Recepción recursos desarrollo inmobiliario</t>
        </is>
      </c>
      <c r="F12" s="341" t="inlineStr">
        <is>
          <t>Siempre</t>
        </is>
      </c>
      <c r="G12" s="341" t="n">
        <v>8025</v>
      </c>
      <c r="H12" s="342">
        <f>IF(ISNUMBER($F12),$F12*PARAMETROS!$C$22,$F12)</f>
        <v/>
      </c>
      <c r="I12" s="342">
        <f>IF(ISNUMBER($G12),$G12*PARAMETROS!$C$22,$G12)</f>
        <v/>
      </c>
      <c r="J12" s="340" t="inlineStr">
        <is>
          <t>Recepción de aportaciones en efectivo o de múltiples inversionistas no identificados.</t>
        </is>
      </c>
      <c r="K12" s="340" t="inlineStr">
        <is>
          <t>Recursos mixtos (transferencias + efectivo) en proyectos medianos.</t>
        </is>
      </c>
      <c r="L12" s="340" t="inlineStr">
        <is>
          <t>Recursos canalizados vía instituciones financieras con trazabilidad plena y contratos formalizados.</t>
        </is>
      </c>
      <c r="M12" s="340" t="inlineStr">
        <is>
          <t>Canalización de recursos ilícitos a proyectos inmobiliarios.</t>
        </is>
      </c>
      <c r="N12" s="340" t="inlineStr">
        <is>
          <t>Participación de múltiples inversionistas, dificultad en verificar origen de fondos.</t>
        </is>
      </c>
      <c r="O12" s="340" t="inlineStr">
        <is>
          <t>Riesgo de cooptación de proyectos para blanqueo de capitales.</t>
        </is>
      </c>
    </row>
    <row r="13" ht="32.25" customHeight="1" s="173">
      <c r="B13" s="340" t="n">
        <v>8</v>
      </c>
      <c r="C13" s="340" t="inlineStr">
        <is>
          <t>VI</t>
        </is>
      </c>
      <c r="D13" s="340" t="inlineStr">
        <is>
          <t>Piedras y metales preciosos, joyas</t>
        </is>
      </c>
      <c r="E13" s="340" t="inlineStr">
        <is>
          <t>VI - Piedras y metales preciosos, joyas</t>
        </is>
      </c>
      <c r="F13" s="341" t="n">
        <v>805</v>
      </c>
      <c r="G13" s="341" t="n">
        <v>1605</v>
      </c>
      <c r="H13" s="342">
        <f>IF(ISNUMBER($F13),$F13*PARAMETROS!$C$22,$F13)</f>
        <v/>
      </c>
      <c r="I13" s="342">
        <f>IF(ISNUMBER($G13),$G13*PARAMETROS!$C$22,$G13)</f>
        <v/>
      </c>
      <c r="J13" s="340" t="inlineStr">
        <is>
          <t>Operaciones en efectivo, piezas de alto valor unitario, transacciones frecuentes en mercados informales.</t>
        </is>
      </c>
      <c r="K13" s="340" t="inlineStr">
        <is>
          <t>Operaciones con combinación de pagos (efectivo + transferencia), piezas de valor medio, ventas a consignación.</t>
        </is>
      </c>
      <c r="L13" s="340" t="inlineStr">
        <is>
          <t>Ventas con factura a través de establecimientos formales, pagos vía sistema bancario.</t>
        </is>
      </c>
      <c r="M13" s="340" t="inlineStr">
        <is>
          <t>Uso de joyas, metales y piedras para mover y ocultar valor ilícito.</t>
        </is>
      </c>
      <c r="N13" s="340" t="inlineStr">
        <is>
          <t>Portabilidad, alta liquidez y difícil trazabilidad de estos bienes.</t>
        </is>
      </c>
      <c r="O13" s="340" t="inlineStr">
        <is>
          <t>Riesgo de blanqueo transfronterizo y sanciones.</t>
        </is>
      </c>
    </row>
    <row r="14" ht="42.75" customHeight="1" s="173">
      <c r="B14" s="340" t="n">
        <v>9</v>
      </c>
      <c r="C14" s="340" t="inlineStr">
        <is>
          <t>VII</t>
        </is>
      </c>
      <c r="D14" s="340" t="inlineStr">
        <is>
          <t>Subasta/comercialización obras de arte</t>
        </is>
      </c>
      <c r="E14" s="340" t="inlineStr">
        <is>
          <t>VII - Subasta/comercialización obras de arte</t>
        </is>
      </c>
      <c r="F14" s="341" t="n">
        <v>2410</v>
      </c>
      <c r="G14" s="341" t="n">
        <v>4815</v>
      </c>
      <c r="H14" s="342">
        <f>IF(ISNUMBER($F14),$F14*PARAMETROS!$C$22,$F14)</f>
        <v/>
      </c>
      <c r="I14" s="342">
        <f>IF(ISNUMBER($G14),$G14*PARAMETROS!$C$22,$G14)</f>
        <v/>
      </c>
      <c r="J14" s="340" t="inlineStr">
        <is>
          <t>Obras de alto valor, subastas internacionales, piezas sin trazabilidad de propiedad.</t>
        </is>
      </c>
      <c r="K14" s="340" t="inlineStr">
        <is>
          <t>Obras de valor intermedio, galerías locales, pagos mixtos.</t>
        </is>
      </c>
      <c r="L14" s="340" t="inlineStr">
        <is>
          <t>Venta de arte contemporáneo o decorativo de bajo valor con facturación completa.</t>
        </is>
      </c>
      <c r="M14" s="340" t="inlineStr">
        <is>
          <t>Uso del arte para justificar incrementos patrimoniales o transferencias internacionales.</t>
        </is>
      </c>
      <c r="N14" s="340" t="inlineStr">
        <is>
          <t>Valor subjetivo y dificultad en tasación de obras.</t>
        </is>
      </c>
      <c r="O14" s="340" t="inlineStr">
        <is>
          <t>Riesgo de sobrevaluación, subdeclaración y financiamiento ilícito.</t>
        </is>
      </c>
    </row>
    <row r="15" ht="42.75" customHeight="1" s="173">
      <c r="B15" s="340" t="n">
        <v>10</v>
      </c>
      <c r="C15" s="340" t="inlineStr">
        <is>
          <t>VIII</t>
        </is>
      </c>
      <c r="D15" s="340" t="inlineStr">
        <is>
          <t>Distribución/comercialización vehículos</t>
        </is>
      </c>
      <c r="E15" s="340" t="inlineStr">
        <is>
          <t>VIII - Distribución/comercialización vehículos</t>
        </is>
      </c>
      <c r="F15" s="341" t="n">
        <v>3210</v>
      </c>
      <c r="G15" s="341" t="n">
        <v>6420</v>
      </c>
      <c r="H15" s="342">
        <f>IF(ISNUMBER($F15),$F15*PARAMETROS!$C$22,$F15)</f>
        <v/>
      </c>
      <c r="I15" s="342">
        <f>IF(ISNUMBER($G15),$G15*PARAMETROS!$C$22,$G15)</f>
        <v/>
      </c>
      <c r="J15" s="340" t="inlineStr">
        <is>
          <t>Venta de vehículos de lujo o coleccionables, pagos en efectivo, operaciones múltiples en corto plazo.</t>
        </is>
      </c>
      <c r="K15" s="340" t="inlineStr">
        <is>
          <t>Venta de vehículos de gama media con esquemas de financiamiento parcial.</t>
        </is>
      </c>
      <c r="L15" s="340" t="inlineStr">
        <is>
          <t>Venta de vehículos económicos a través de agencias con pagos bancarios y crédito formal.</t>
        </is>
      </c>
      <c r="M15" s="340" t="inlineStr">
        <is>
          <t>Adquisición de vehículos para ocultar origen ilícito de fondos.</t>
        </is>
      </c>
      <c r="N15" s="340" t="inlineStr">
        <is>
          <t>Alto valor de los bienes y posibilidad de liquidación en efectivo.</t>
        </is>
      </c>
      <c r="O15" s="340" t="inlineStr">
        <is>
          <t>Riesgo de acumulación patrimonial ilícita y decomiso.</t>
        </is>
      </c>
    </row>
    <row r="16" ht="21.75" customHeight="1" s="173">
      <c r="B16" s="340" t="n">
        <v>11</v>
      </c>
      <c r="C16" s="340" t="inlineStr">
        <is>
          <t>IX</t>
        </is>
      </c>
      <c r="D16" s="340" t="inlineStr">
        <is>
          <t>Servicios de blindaje</t>
        </is>
      </c>
      <c r="E16" s="340" t="inlineStr">
        <is>
          <t>IX - Servicios de blindaje</t>
        </is>
      </c>
      <c r="F16" s="341" t="n">
        <v>2410</v>
      </c>
      <c r="G16" s="341" t="n">
        <v>4815</v>
      </c>
      <c r="H16" s="342">
        <f>IF(ISNUMBER($F16),$F16*PARAMETROS!$C$22,$F16)</f>
        <v/>
      </c>
      <c r="I16" s="342">
        <f>IF(ISNUMBER($G16),$G16*PARAMETROS!$C$22,$G16)</f>
        <v/>
      </c>
      <c r="J16" s="340" t="inlineStr">
        <is>
          <t>Blindaje de vehículos de lujo y bienes inmuebles con pagos en efectivo.</t>
        </is>
      </c>
      <c r="K16" s="340" t="inlineStr">
        <is>
          <t>Blindaje de vehículos medianos con pagos mixtos.</t>
        </is>
      </c>
      <c r="L16" s="340" t="inlineStr">
        <is>
          <t>Blindaje contratado por empresas reguladas con pagos vía sistema financiero.</t>
        </is>
      </c>
      <c r="M16" s="340" t="inlineStr">
        <is>
          <t>Blindaje usado para protección de recursos ilícitos.</t>
        </is>
      </c>
      <c r="N16" s="340" t="inlineStr">
        <is>
          <t>Alta demanda de efectivo y bienes de alto valor.</t>
        </is>
      </c>
      <c r="O16" s="340" t="inlineStr">
        <is>
          <t>Riesgo de vínculo con delincuencia organizada.</t>
        </is>
      </c>
    </row>
    <row r="17" ht="32.25" customHeight="1" s="173">
      <c r="B17" s="340" t="n">
        <v>12</v>
      </c>
      <c r="C17" s="340" t="inlineStr">
        <is>
          <t>X</t>
        </is>
      </c>
      <c r="D17" s="340" t="inlineStr">
        <is>
          <t>Transporte y custodia de valores</t>
        </is>
      </c>
      <c r="E17" s="340" t="inlineStr">
        <is>
          <t>X - Transporte y custodia de valores</t>
        </is>
      </c>
      <c r="F17" s="341" t="inlineStr">
        <is>
          <t>Siempre</t>
        </is>
      </c>
      <c r="G17" s="341" t="n">
        <v>3210</v>
      </c>
      <c r="H17" s="342">
        <f>IF(ISNUMBER($F17),$F17*PARAMETROS!$C$22,$F17)</f>
        <v/>
      </c>
      <c r="I17" s="342">
        <f>IF(ISNUMBER($G17),$G17*PARAMETROS!$C$22,$G17)</f>
        <v/>
      </c>
      <c r="J17" s="340" t="inlineStr">
        <is>
          <t>Custodia o traslado de valores en efectivo de alto volumen o bienes de alto valor</t>
        </is>
      </c>
      <c r="K17" s="340" t="inlineStr">
        <is>
          <t>Custodia de valores mixtos (efectivo y documentos)</t>
        </is>
      </c>
      <c r="L17" s="340" t="inlineStr">
        <is>
          <t>Custodia de valores financieros documentados (títulos, cheques, transferencias)</t>
        </is>
      </c>
      <c r="M17" s="340" t="inlineStr">
        <is>
          <t>Movilización de efectivo ilícito.</t>
        </is>
      </c>
      <c r="N17" s="340" t="inlineStr">
        <is>
          <t>Dificultad de control en traslado físico.</t>
        </is>
      </c>
      <c r="O17" s="340" t="inlineStr">
        <is>
          <t>Riesgo de decomiso y sanciones.</t>
        </is>
      </c>
    </row>
    <row r="18" ht="21.75" customHeight="1" s="173">
      <c r="B18" s="340" t="n">
        <v>13</v>
      </c>
      <c r="C18" s="340" t="inlineStr">
        <is>
          <t>XI</t>
        </is>
      </c>
      <c r="D18" s="340" t="inlineStr">
        <is>
          <t>Servicios Profesionales</t>
        </is>
      </c>
      <c r="E18" s="340" t="inlineStr">
        <is>
          <t>XI - Servicios Profesionales</t>
        </is>
      </c>
      <c r="F18" s="341" t="inlineStr">
        <is>
          <t>Siempre</t>
        </is>
      </c>
      <c r="G18" s="341" t="inlineStr">
        <is>
          <t>Siempre</t>
        </is>
      </c>
      <c r="H18" s="342">
        <f>IF(ISNUMBER($F18),$F18*PARAMETROS!$C$22,$F18)</f>
        <v/>
      </c>
      <c r="I18" s="342">
        <f>IF(ISNUMBER($G18),$G18*PARAMETROS!$C$22,$G18)</f>
        <v/>
      </c>
      <c r="J18" s="340" t="inlineStr">
        <is>
          <t>Servicios que implican estructuración patrimonial o fiscal compleja</t>
        </is>
      </c>
      <c r="K18" s="340" t="inlineStr">
        <is>
          <t>Servicios especializados de valor intermedio (contratos mercantiles, trámites específicos)</t>
        </is>
      </c>
      <c r="L18" s="340" t="inlineStr">
        <is>
          <t>Servicios rutinarios o administrativos (contabilidad básica, asesoría legal común)</t>
        </is>
      </c>
      <c r="M18" s="340" t="inlineStr">
        <is>
          <t>Profesionales usados para dar apariencia de legalidad.</t>
        </is>
      </c>
      <c r="N18" s="340" t="inlineStr">
        <is>
          <t>Posibilidad de diseñar esquemas opacos.</t>
        </is>
      </c>
      <c r="O18" s="340" t="inlineStr">
        <is>
          <t>Corresponsabilidad legal.</t>
        </is>
      </c>
    </row>
    <row r="19" ht="42.75" customHeight="1" s="173">
      <c r="B19" s="340" t="n">
        <v>14</v>
      </c>
      <c r="C19" s="340" t="inlineStr">
        <is>
          <t>XII</t>
        </is>
      </c>
      <c r="D19" s="340" t="inlineStr">
        <is>
          <t>NOTARIOS: Transmisión de inmuebles</t>
        </is>
      </c>
      <c r="E19" s="340" t="inlineStr">
        <is>
          <t>XII - NOTARIOS: Transmisión de inmuebles</t>
        </is>
      </c>
      <c r="F19" s="341" t="inlineStr">
        <is>
          <t>Siempre</t>
        </is>
      </c>
      <c r="G19" s="341" t="n">
        <v>8000</v>
      </c>
      <c r="H19" s="342">
        <f>IF(ISNUMBER($F19),$F19*PARAMETROS!$C$22,$F19)</f>
        <v/>
      </c>
      <c r="I19" s="342">
        <f>IF(ISNUMBER($G19),$G19*PARAMETROS!$C$22,$G19)</f>
        <v/>
      </c>
      <c r="J19" s="340" t="inlineStr">
        <is>
          <t>Transmisión de inmuebles de alto valor</t>
        </is>
      </c>
      <c r="K19" s="340" t="inlineStr">
        <is>
          <t>Transmisiones de inmuebles de valor intermedio</t>
        </is>
      </c>
      <c r="L19" s="340" t="inlineStr">
        <is>
          <t>Transmisiones de inmuebles de bajo valor o vivienda social</t>
        </is>
      </c>
      <c r="M19" s="340" t="inlineStr">
        <is>
          <t>Uso de escrituras para legitimar recursos ilícitos.</t>
        </is>
      </c>
      <c r="N19" s="340" t="inlineStr">
        <is>
          <t>Alto valor de operaciones notariales.</t>
        </is>
      </c>
      <c r="O19" s="340" t="inlineStr">
        <is>
          <t>Riesgo de nulidad de actos y sanciones.</t>
        </is>
      </c>
    </row>
    <row r="20" ht="42.75" customHeight="1" s="173">
      <c r="B20" s="340" t="n">
        <v>15</v>
      </c>
      <c r="C20" s="340" t="inlineStr">
        <is>
          <t>XII</t>
        </is>
      </c>
      <c r="D20" s="340" t="inlineStr">
        <is>
          <t>NOTARIOS: Poderes irrevocables</t>
        </is>
      </c>
      <c r="E20" s="340" t="inlineStr">
        <is>
          <t>XII - NOTARIOS: Poderes irrevocables</t>
        </is>
      </c>
      <c r="F20" s="341" t="inlineStr">
        <is>
          <t>Siempre</t>
        </is>
      </c>
      <c r="G20" s="341" t="inlineStr">
        <is>
          <t>Siempre</t>
        </is>
      </c>
      <c r="H20" s="342">
        <f>IF(ISNUMBER($F20),$F20*PARAMETROS!$C$22,$F20)</f>
        <v/>
      </c>
      <c r="I20" s="342">
        <f>IF(ISNUMBER($G20),$G20*PARAMETROS!$C$22,$G20)</f>
        <v/>
      </c>
      <c r="J20" s="340" t="inlineStr">
        <is>
          <t>Poderes generales con facultades amplias y sin limitación temporal</t>
        </is>
      </c>
      <c r="K20" s="340" t="inlineStr">
        <is>
          <t>Poderes especiales de gestión con vigencia determinada</t>
        </is>
      </c>
      <c r="L20" s="340" t="inlineStr">
        <is>
          <t>Poderes notariales limitados a actos concretos y de valor reducido</t>
        </is>
      </c>
      <c r="M20" s="340" t="inlineStr">
        <is>
          <t>Uso de poderes para ocultar beneficiario final.</t>
        </is>
      </c>
      <c r="N20" s="340" t="inlineStr">
        <is>
          <t>Amplio acceso a actos jurídicos sin límite económico.</t>
        </is>
      </c>
      <c r="O20" s="340" t="inlineStr">
        <is>
          <t>Riesgo de facilitar control ilícito de activos.</t>
        </is>
      </c>
    </row>
    <row r="21" ht="42.75" customHeight="1" s="173">
      <c r="B21" s="340" t="n">
        <v>16</v>
      </c>
      <c r="C21" s="340" t="inlineStr">
        <is>
          <t>XII</t>
        </is>
      </c>
      <c r="D21" s="340" t="inlineStr">
        <is>
          <t>NOTARIOS: Const. o modif. patrimonial</t>
        </is>
      </c>
      <c r="E21" s="340" t="inlineStr">
        <is>
          <t>XII - NOTARIOS: Const. o modif. patrimonial</t>
        </is>
      </c>
      <c r="F21" s="341" t="inlineStr">
        <is>
          <t>Siempre</t>
        </is>
      </c>
      <c r="G21" s="341" t="n">
        <v>8025</v>
      </c>
      <c r="H21" s="342">
        <f>IF(ISNUMBER($F21),$F21*PARAMETROS!$C$22,$F21)</f>
        <v/>
      </c>
      <c r="I21" s="342">
        <f>IF(ISNUMBER($G21),$G21*PARAMETROS!$C$22,$G21)</f>
        <v/>
      </c>
      <c r="J21" s="340" t="inlineStr">
        <is>
          <t>Constitución de sociedades patrimoniales con aportaciones significativas</t>
        </is>
      </c>
      <c r="K21" s="340" t="inlineStr">
        <is>
          <t>Modificación parcial de sociedades con capital intermedio</t>
        </is>
      </c>
      <c r="L21" s="340" t="inlineStr">
        <is>
          <t>Ajustes patrimoniales menores y documentados</t>
        </is>
      </c>
      <c r="M21" s="340" t="inlineStr">
        <is>
          <t>Uso de sociedades para canalizar fondos ilícitos.</t>
        </is>
      </c>
      <c r="N21" s="340" t="inlineStr">
        <is>
          <t>Flexibilidad de estructuras societarias.</t>
        </is>
      </c>
      <c r="O21" s="340" t="inlineStr">
        <is>
          <t>Riesgo de sobrevaluación y evasión.</t>
        </is>
      </c>
    </row>
    <row r="22" ht="42.75" customHeight="1" s="173">
      <c r="B22" s="340" t="n">
        <v>17</v>
      </c>
      <c r="C22" s="340" t="inlineStr">
        <is>
          <t>XII</t>
        </is>
      </c>
      <c r="D22" s="340" t="inlineStr">
        <is>
          <t>NOTARIOS: Const. o modif. fideicomisos</t>
        </is>
      </c>
      <c r="E22" s="340" t="inlineStr">
        <is>
          <t>XII - NOTARIOS: Const. o modif. fideicomisos</t>
        </is>
      </c>
      <c r="F22" s="341" t="inlineStr">
        <is>
          <t>Siempre</t>
        </is>
      </c>
      <c r="G22" s="341" t="n">
        <v>4000</v>
      </c>
      <c r="H22" s="342">
        <f>IF(ISNUMBER($F22),$F22*PARAMETROS!$C$22,$F22)</f>
        <v/>
      </c>
      <c r="I22" s="342">
        <f>IF(ISNUMBER($G22),$G22*PARAMETROS!$C$22,$G22)</f>
        <v/>
      </c>
      <c r="J22" s="340" t="inlineStr">
        <is>
          <t>Fideicomisos de inversión de gran valor</t>
        </is>
      </c>
      <c r="K22" s="340" t="inlineStr">
        <is>
          <t>Fideicomisos de inversión o administración con montos intermedios</t>
        </is>
      </c>
      <c r="L22" s="340" t="inlineStr">
        <is>
          <t>Fideicomisos patrimoniales familiares con montos bajos</t>
        </is>
      </c>
      <c r="M22" s="340" t="inlineStr">
        <is>
          <t>Uso de fideicomisos para ocultar recursos ilícitos.</t>
        </is>
      </c>
      <c r="N22" s="340" t="inlineStr">
        <is>
          <t>Complejidad de instrumentos fiduciarios.</t>
        </is>
      </c>
      <c r="O22" s="340" t="inlineStr">
        <is>
          <t>Riesgo de ocultar beneficiarios finales.</t>
        </is>
      </c>
    </row>
    <row r="23" ht="42.75" customHeight="1" s="173">
      <c r="B23" s="340" t="n">
        <v>18</v>
      </c>
      <c r="C23" s="340" t="inlineStr">
        <is>
          <t>XII</t>
        </is>
      </c>
      <c r="D23" s="340" t="inlineStr">
        <is>
          <t>NOTARIOS: Mutuo con no financiero</t>
        </is>
      </c>
      <c r="E23" s="340" t="inlineStr">
        <is>
          <t>XII - NOTARIOS: Mutuo con no financiero</t>
        </is>
      </c>
      <c r="F23" s="341" t="inlineStr">
        <is>
          <t>Siempre</t>
        </is>
      </c>
      <c r="G23" s="341" t="inlineStr">
        <is>
          <t>Siempre</t>
        </is>
      </c>
      <c r="H23" s="342">
        <f>IF(ISNUMBER($F23),$F23*PARAMETROS!$C$22,$F23)</f>
        <v/>
      </c>
      <c r="I23" s="342">
        <f>IF(ISNUMBER($G23),$G23*PARAMETROS!$C$22,$G23)</f>
        <v/>
      </c>
      <c r="J23" s="340" t="inlineStr">
        <is>
          <t>Mutuos de gran monto entre particulares</t>
        </is>
      </c>
      <c r="K23" s="340" t="inlineStr">
        <is>
          <t>Mutuos de valor intermedio</t>
        </is>
      </c>
      <c r="L23" s="340" t="inlineStr">
        <is>
          <t>Mutuos de bajo monto, formalizados y documentados</t>
        </is>
      </c>
      <c r="M23" s="340" t="inlineStr">
        <is>
          <t>Préstamos usados para circular recursos ilícitos.</t>
        </is>
      </c>
      <c r="N23" s="340" t="inlineStr">
        <is>
          <t>Flexibilidad del contrato civil.</t>
        </is>
      </c>
      <c r="O23" s="340" t="inlineStr">
        <is>
          <t>Riesgo de simulación de operaciones.</t>
        </is>
      </c>
    </row>
    <row r="24" ht="32.25" customHeight="1" s="173">
      <c r="B24" s="340" t="n">
        <v>19</v>
      </c>
      <c r="C24" s="340" t="inlineStr">
        <is>
          <t>XII</t>
        </is>
      </c>
      <c r="D24" s="340" t="inlineStr">
        <is>
          <t>CORREDORES: Avalúos</t>
        </is>
      </c>
      <c r="E24" s="340" t="inlineStr">
        <is>
          <t>XII - CORREDORES: Avalúos</t>
        </is>
      </c>
      <c r="F24" s="341" t="n">
        <v>8025</v>
      </c>
      <c r="G24" s="341" t="n">
        <v>8025</v>
      </c>
      <c r="H24" s="342">
        <f>IF(ISNUMBER($F24),$F24*PARAMETROS!$C$22,$F24)</f>
        <v/>
      </c>
      <c r="I24" s="342">
        <f>IF(ISNUMBER($G24),$G24*PARAMETROS!$C$22,$G24)</f>
        <v/>
      </c>
      <c r="J24" s="340" t="inlineStr">
        <is>
          <t>Avalúos de bienes de alto valor</t>
        </is>
      </c>
      <c r="K24" s="340" t="inlineStr">
        <is>
          <t>Avalúos de bienes de valor intermedio</t>
        </is>
      </c>
      <c r="L24" s="340" t="inlineStr">
        <is>
          <t>Avalúos de bienes de bajo valor o de vivienda social</t>
        </is>
      </c>
      <c r="M24" s="340" t="inlineStr">
        <is>
          <t>Uso de avalúos para inflar patrimonio.</t>
        </is>
      </c>
      <c r="N24" s="340" t="inlineStr">
        <is>
          <t>Valoración subjetiva de bienes.</t>
        </is>
      </c>
      <c r="O24" s="340" t="inlineStr">
        <is>
          <t>Riesgo de justificación ilícita de activos.</t>
        </is>
      </c>
    </row>
    <row r="25" ht="42.75" customHeight="1" s="173">
      <c r="B25" s="340" t="n">
        <v>20</v>
      </c>
      <c r="C25" s="340" t="inlineStr">
        <is>
          <t>XII</t>
        </is>
      </c>
      <c r="D25" s="340" t="inlineStr">
        <is>
          <t>CORREDORES: Const. o modif. patrimonial</t>
        </is>
      </c>
      <c r="E25" s="340" t="inlineStr">
        <is>
          <t>XII - CORREDORES: Const. o modif. patrimonial</t>
        </is>
      </c>
      <c r="F25" s="341" t="inlineStr">
        <is>
          <t>Siempre</t>
        </is>
      </c>
      <c r="G25" s="341" t="inlineStr">
        <is>
          <t>Siempre</t>
        </is>
      </c>
      <c r="H25" s="342">
        <f>IF(ISNUMBER($F25),$F25*PARAMETROS!$C$22,$F25)</f>
        <v/>
      </c>
      <c r="I25" s="342">
        <f>IF(ISNUMBER($G25),$G25*PARAMETROS!$C$22,$G25)</f>
        <v/>
      </c>
      <c r="J25" s="340" t="inlineStr">
        <is>
          <t>Constitución de sociedades patrimoniales de alto valor</t>
        </is>
      </c>
      <c r="K25" s="340" t="inlineStr">
        <is>
          <t>Modificaciones societarias de valor intermedio</t>
        </is>
      </c>
      <c r="L25" s="340" t="inlineStr">
        <is>
          <t>Ajustes menores en sociedades pequeñas</t>
        </is>
      </c>
      <c r="M25" s="340" t="inlineStr">
        <is>
          <t>Uso de sociedades mercantiles para blanquear recursos.</t>
        </is>
      </c>
      <c r="N25" s="340" t="inlineStr">
        <is>
          <t>Flexibilidad del marco mercantil.</t>
        </is>
      </c>
      <c r="O25" s="340" t="inlineStr">
        <is>
          <t>Riesgo de opacidad en beneficiarios.</t>
        </is>
      </c>
    </row>
    <row r="26" ht="42.75" customHeight="1" s="173">
      <c r="B26" s="340" t="n">
        <v>21</v>
      </c>
      <c r="C26" s="340" t="inlineStr">
        <is>
          <t>XII</t>
        </is>
      </c>
      <c r="D26" s="340" t="inlineStr">
        <is>
          <t>CORREDORES: Modif. o cesión fideicomiso</t>
        </is>
      </c>
      <c r="E26" s="340" t="inlineStr">
        <is>
          <t>XII - CORREDORES: Modif. o cesión fideicomiso</t>
        </is>
      </c>
      <c r="F26" s="341" t="inlineStr">
        <is>
          <t>Siempre</t>
        </is>
      </c>
      <c r="G26" s="341" t="inlineStr">
        <is>
          <t>Siempre</t>
        </is>
      </c>
      <c r="H26" s="342">
        <f>IF(ISNUMBER($F26),$F26*PARAMETROS!$C$22,$F26)</f>
        <v/>
      </c>
      <c r="I26" s="342">
        <f>IF(ISNUMBER($G26),$G26*PARAMETROS!$C$22,$G26)</f>
        <v/>
      </c>
      <c r="J26" s="340" t="inlineStr">
        <is>
          <t>Cesión de derechos fiduciarios de alto valor</t>
        </is>
      </c>
      <c r="K26" s="340" t="inlineStr">
        <is>
          <t>Cesiones parciales de derechos de valor intermedio</t>
        </is>
      </c>
      <c r="L26" s="340" t="inlineStr">
        <is>
          <t>Cesiones de bajo valor o entre familiares</t>
        </is>
      </c>
      <c r="M26" s="340" t="inlineStr">
        <is>
          <t>Cesión usada para ocultar transferencia ilícita.</t>
        </is>
      </c>
      <c r="N26" s="340" t="inlineStr">
        <is>
          <t>Complejidad fiduciaria.</t>
        </is>
      </c>
      <c r="O26" s="340" t="inlineStr">
        <is>
          <t>Riesgo de lavado mediante cesiones.</t>
        </is>
      </c>
    </row>
    <row r="27" ht="32.25" customHeight="1" s="173">
      <c r="B27" s="340" t="n">
        <v>22</v>
      </c>
      <c r="C27" s="340" t="inlineStr">
        <is>
          <t>XII</t>
        </is>
      </c>
      <c r="D27" s="340" t="inlineStr">
        <is>
          <t>CORREDORES: Mutuo mercantil</t>
        </is>
      </c>
      <c r="E27" s="340" t="inlineStr">
        <is>
          <t>XII - CORREDORES: Mutuo mercantil</t>
        </is>
      </c>
      <c r="F27" s="341" t="inlineStr">
        <is>
          <t>Siempre</t>
        </is>
      </c>
      <c r="G27" s="341" t="inlineStr">
        <is>
          <t>Siempre</t>
        </is>
      </c>
      <c r="H27" s="342">
        <f>IF(ISNUMBER($F27),$F27*PARAMETROS!$C$22,$F27)</f>
        <v/>
      </c>
      <c r="I27" s="342">
        <f>IF(ISNUMBER($G27),$G27*PARAMETROS!$C$22,$G27)</f>
        <v/>
      </c>
      <c r="J27" s="340" t="inlineStr">
        <is>
          <t>Mutuos mercantiles de alto valor</t>
        </is>
      </c>
      <c r="K27" s="340" t="inlineStr">
        <is>
          <t>Mutuos mercantiles de valor intermedio</t>
        </is>
      </c>
      <c r="L27" s="340" t="inlineStr">
        <is>
          <t>Mutuos mercantiles de bajo valor, documentados</t>
        </is>
      </c>
      <c r="M27" s="340" t="inlineStr">
        <is>
          <t>Simulación de préstamos para circular fondos ilícitos.</t>
        </is>
      </c>
      <c r="N27" s="340" t="inlineStr">
        <is>
          <t>Flexibilidad contractual.</t>
        </is>
      </c>
      <c r="O27" s="340" t="inlineStr">
        <is>
          <t>Riesgo de simulación patrimonial.</t>
        </is>
      </c>
    </row>
    <row r="28" ht="42.75" customHeight="1" s="173">
      <c r="B28" s="340" t="n">
        <v>23</v>
      </c>
      <c r="C28" s="340" t="inlineStr">
        <is>
          <t>XII</t>
        </is>
      </c>
      <c r="D28" s="340" t="inlineStr">
        <is>
          <t>FACILITADORES: Solución de controversias</t>
        </is>
      </c>
      <c r="E28" s="340" t="inlineStr">
        <is>
          <t>XII - FACILITADORES: Solución de controversias</t>
        </is>
      </c>
      <c r="F28" s="341" t="inlineStr">
        <is>
          <t>Siempre</t>
        </is>
      </c>
      <c r="G28" s="341" t="n">
        <v>8025</v>
      </c>
      <c r="H28" s="342">
        <f>IF(ISNUMBER($F28),$F28*PARAMETROS!$C$22,$F28)</f>
        <v/>
      </c>
      <c r="I28" s="342">
        <f>IF(ISNUMBER($G28),$G28*PARAMETROS!$C$22,$G28)</f>
        <v/>
      </c>
      <c r="J28" s="340" t="inlineStr">
        <is>
          <t>Soluciones de controversias internacionales de alto valor económico</t>
        </is>
      </c>
      <c r="K28" s="340" t="inlineStr">
        <is>
          <t>Controversias nacionales de valor intermedio</t>
        </is>
      </c>
      <c r="L28" s="340" t="inlineStr">
        <is>
          <t>Controversias de bajo valor económico</t>
        </is>
      </c>
      <c r="M28" s="340" t="inlineStr">
        <is>
          <t>Uso de servicios legales para legitimar flujos.</t>
        </is>
      </c>
      <c r="N28" s="340" t="inlineStr">
        <is>
          <t>Pago de honorarios difícil de trazar.</t>
        </is>
      </c>
      <c r="O28" s="340" t="inlineStr">
        <is>
          <t>Riesgo de corresponsabilidad.</t>
        </is>
      </c>
    </row>
    <row r="29" ht="21.75" customHeight="1" s="173">
      <c r="B29" s="340" t="n">
        <v>24</v>
      </c>
      <c r="C29" s="340" t="inlineStr">
        <is>
          <t>XIII</t>
        </is>
      </c>
      <c r="D29" s="340" t="inlineStr">
        <is>
          <t>Recepción de donativos</t>
        </is>
      </c>
      <c r="E29" s="340" t="inlineStr">
        <is>
          <t>XIII - Recepción de donativos</t>
        </is>
      </c>
      <c r="F29" s="341" t="n">
        <v>1605</v>
      </c>
      <c r="G29" s="341" t="n">
        <v>3210</v>
      </c>
      <c r="H29" s="342">
        <f>IF(ISNUMBER($F29),$F29*PARAMETROS!$C$22,$F29)</f>
        <v/>
      </c>
      <c r="I29" s="342">
        <f>IF(ISNUMBER($G29),$G29*PARAMETROS!$C$22,$G29)</f>
        <v/>
      </c>
      <c r="J29" s="340" t="inlineStr">
        <is>
          <t>Donativos de gran valor económico</t>
        </is>
      </c>
      <c r="K29" s="340" t="inlineStr">
        <is>
          <t>Donativos de valor intermedio</t>
        </is>
      </c>
      <c r="L29" s="340" t="inlineStr">
        <is>
          <t>Donativos de bajo valor, frecuentes en asociaciones pequeñas</t>
        </is>
      </c>
      <c r="M29" s="340" t="inlineStr">
        <is>
          <t>Uso de asociaciones para canalizar fondos ilícitos.</t>
        </is>
      </c>
      <c r="N29" s="340" t="inlineStr">
        <is>
          <t>Flexibilidad en recepción de recursos.</t>
        </is>
      </c>
      <c r="O29" s="340" t="inlineStr">
        <is>
          <t>Riesgo de infiltración criminal.</t>
        </is>
      </c>
    </row>
    <row r="30" ht="42.75" customHeight="1" s="173">
      <c r="B30" s="340" t="n">
        <v>25</v>
      </c>
      <c r="C30" s="340" t="inlineStr">
        <is>
          <t>XIV</t>
        </is>
      </c>
      <c r="D30" s="340" t="inlineStr">
        <is>
          <t>CEXT: Joyas, metales, piedras preciosas</t>
        </is>
      </c>
      <c r="E30" s="340" t="inlineStr">
        <is>
          <t>XIV - CEXT: Joyas, metales, piedras preciosas</t>
        </is>
      </c>
      <c r="F30" s="341" t="n">
        <v>485</v>
      </c>
      <c r="G30" s="341" t="n">
        <v>485</v>
      </c>
      <c r="H30" s="342">
        <f>IF(ISNUMBER($F30),$F30*PARAMETROS!$C$22,$F30)</f>
        <v/>
      </c>
      <c r="I30" s="342">
        <f>IF(ISNUMBER($G30),$G30*PARAMETROS!$C$22,$G30)</f>
        <v/>
      </c>
      <c r="J30" s="340" t="inlineStr">
        <is>
          <t>Transacciones internacionales de alto valor</t>
        </is>
      </c>
      <c r="K30" s="340" t="inlineStr">
        <is>
          <t>Operaciones nacionales de valor intermedio</t>
        </is>
      </c>
      <c r="L30" s="340" t="inlineStr">
        <is>
          <t>Operaciones nacionales de bajo valor con documentación</t>
        </is>
      </c>
      <c r="M30" s="340" t="inlineStr">
        <is>
          <t>Uso de comercio exterior para mover valor ilícito.</t>
        </is>
      </c>
      <c r="N30" s="340" t="inlineStr">
        <is>
          <t>Portabilidad y liquidez.</t>
        </is>
      </c>
      <c r="O30" s="340" t="inlineStr">
        <is>
          <t>Riesgo de contrabando y sanciones.</t>
        </is>
      </c>
    </row>
    <row r="31" ht="21.75" customHeight="1" s="173">
      <c r="B31" s="340" t="n">
        <v>26</v>
      </c>
      <c r="C31" s="340" t="inlineStr">
        <is>
          <t>XIV</t>
        </is>
      </c>
      <c r="D31" s="340" t="inlineStr">
        <is>
          <t>CEXT: Obras de arte</t>
        </is>
      </c>
      <c r="E31" s="340" t="inlineStr">
        <is>
          <t>XIV - CEXT: Obras de arte</t>
        </is>
      </c>
      <c r="F31" s="341" t="n">
        <v>4815</v>
      </c>
      <c r="G31" s="341" t="n">
        <v>4815</v>
      </c>
      <c r="H31" s="342">
        <f>IF(ISNUMBER($F31),$F31*PARAMETROS!$C$22,$F31)</f>
        <v/>
      </c>
      <c r="I31" s="342">
        <f>IF(ISNUMBER($G31),$G31*PARAMETROS!$C$22,$G31)</f>
        <v/>
      </c>
      <c r="J31" s="340" t="inlineStr">
        <is>
          <t>Subastas internacionales de alto valor</t>
        </is>
      </c>
      <c r="K31" s="340" t="inlineStr">
        <is>
          <t>Ventas nacionales de valor intermedio</t>
        </is>
      </c>
      <c r="L31" s="340" t="inlineStr">
        <is>
          <t>Obras de bajo valor con factura</t>
        </is>
      </c>
      <c r="M31" s="340" t="inlineStr">
        <is>
          <t>Uso de arte en comercio exterior para justificar flujos ilícitos.</t>
        </is>
      </c>
      <c r="N31" s="340" t="inlineStr">
        <is>
          <t>Valor subjetivo y mercado opaco.</t>
        </is>
      </c>
      <c r="O31" s="340" t="inlineStr">
        <is>
          <t>Riesgo de sobre/subvaluación.</t>
        </is>
      </c>
    </row>
    <row r="32" ht="42.75" customHeight="1" s="173">
      <c r="B32" s="340" t="n">
        <v>27</v>
      </c>
      <c r="C32" s="340" t="inlineStr">
        <is>
          <t>XIV</t>
        </is>
      </c>
      <c r="D32" s="340" t="inlineStr">
        <is>
          <t>CEXT: Vehículos, máquinas, blindaje, etc.</t>
        </is>
      </c>
      <c r="E32" s="340" t="inlineStr">
        <is>
          <t>XIV - CEXT: Vehículos, máquinas, blindaje, etc.</t>
        </is>
      </c>
      <c r="F32" s="341" t="inlineStr">
        <is>
          <t>Siempre</t>
        </is>
      </c>
      <c r="G32" s="341" t="inlineStr">
        <is>
          <t>Siempre</t>
        </is>
      </c>
      <c r="H32" s="342">
        <f>IF(ISNUMBER($F32),$F32*PARAMETROS!$C$22,$F32)</f>
        <v/>
      </c>
      <c r="I32" s="342">
        <f>IF(ISNUMBER($G32),$G32*PARAMETROS!$C$22,$G32)</f>
        <v/>
      </c>
      <c r="J32" s="340" t="inlineStr">
        <is>
          <t>Importación/exportación de bienes de lujo</t>
        </is>
      </c>
      <c r="K32" s="340" t="inlineStr">
        <is>
          <t>Comercialización de bienes de valor intermedio</t>
        </is>
      </c>
      <c r="L32" s="340" t="inlineStr">
        <is>
          <t>Bienes de uso común con documentación completa</t>
        </is>
      </c>
      <c r="M32" s="340" t="inlineStr">
        <is>
          <t>Comercio exterior usado para estratificación.</t>
        </is>
      </c>
      <c r="N32" s="340" t="inlineStr">
        <is>
          <t>Alto valor de mercancías.</t>
        </is>
      </c>
      <c r="O32" s="340" t="inlineStr">
        <is>
          <t>Riesgo de contrabando.</t>
        </is>
      </c>
    </row>
    <row r="33" ht="53.25" customHeight="1" s="173">
      <c r="B33" s="340" t="n">
        <v>28</v>
      </c>
      <c r="C33" s="340" t="inlineStr">
        <is>
          <t>XV</t>
        </is>
      </c>
      <c r="D33" s="340" t="inlineStr">
        <is>
          <t>Arrendamiento de bienes inmuebles (uso o goce)</t>
        </is>
      </c>
      <c r="E33" s="340" t="inlineStr">
        <is>
          <t>XV - Arrendamiento de bienes inmuebles (uso o goce)</t>
        </is>
      </c>
      <c r="F33" s="341" t="n">
        <v>1605</v>
      </c>
      <c r="G33" s="341" t="n">
        <v>3210</v>
      </c>
      <c r="H33" s="342">
        <f>IF(ISNUMBER($F33),$F33*PARAMETROS!$C$22,$F33)</f>
        <v/>
      </c>
      <c r="I33" s="342">
        <f>IF(ISNUMBER($G33),$G33*PARAMETROS!$C$22,$G33)</f>
        <v/>
      </c>
      <c r="J33" s="340" t="inlineStr">
        <is>
          <t>Arrendamiento de inmuebles de alto valor mensual, pagos en efectivo, arrendatarios de dificil identificacion o giro sensible.</t>
        </is>
      </c>
      <c r="K33" s="340" t="inlineStr">
        <is>
          <t>Arrendamiento de valor intermedio con pagos mixtos (efectivo y transferencia).</t>
        </is>
      </c>
      <c r="L33" s="340" t="inlineStr">
        <is>
          <t>Arrendamiento de bajo valor mensual, contrato formal y pagos trazables.</t>
        </is>
      </c>
      <c r="M33" s="340" t="inlineStr">
        <is>
          <t>Uso del arrendamiento como fachada o para introducir recursos ilicitos.</t>
        </is>
      </c>
      <c r="N33" s="340" t="inlineStr">
        <is>
          <t>Falta de verificacion del giro real del arrendatario y del origen de los pagos.</t>
        </is>
      </c>
      <c r="O33" s="340" t="inlineStr">
        <is>
          <t>Riesgo legal y reputacional; local usado para actividades ilicitas.</t>
        </is>
      </c>
    </row>
    <row r="34" ht="63.75" customHeight="1" s="173">
      <c r="B34" s="340" t="n">
        <v>29</v>
      </c>
      <c r="C34" s="340" t="inlineStr">
        <is>
          <t>XVI</t>
        </is>
      </c>
      <c r="D34" s="340" t="inlineStr">
        <is>
          <t>Activos virtuales (PSAV): operación de intercambio/transferencia</t>
        </is>
      </c>
      <c r="E34" s="340" t="inlineStr">
        <is>
          <t>XVI - Activos virtuales (PSAV): operación de intercambio/transferencia</t>
        </is>
      </c>
      <c r="F34" s="341" t="inlineStr">
        <is>
          <t>Siempre</t>
        </is>
      </c>
      <c r="G34" s="341" t="n">
        <v>210</v>
      </c>
      <c r="H34" s="342">
        <f>IF(ISNUMBER($F34),$F34*PARAMETROS!$C$22,$F34)</f>
        <v/>
      </c>
      <c r="I34" s="342">
        <f>IF(ISNUMBER($G34),$G34*PARAMETROS!$C$22,$G34)</f>
        <v/>
      </c>
      <c r="J34" s="340" t="inlineStr">
        <is>
          <t>Intercambio/transferencia de activos virtuales con clientes no identificados, operaciones transfronterizas, montos elevados o anonimato on-chain.</t>
        </is>
      </c>
      <c r="K34" s="340" t="inlineStr">
        <is>
          <t>Operaciones con identificacion parcial y montos moderados.</t>
        </is>
      </c>
      <c r="L34" s="340" t="inlineStr">
        <is>
          <t>Operaciones con KYC completo, trazabilidad on-chain y montos bajos en MXN.</t>
        </is>
      </c>
      <c r="M34" s="340" t="inlineStr">
        <is>
          <t>Uso de activos virtuales para estratificar u ocultar el origen de recursos.</t>
        </is>
      </c>
      <c r="N34" s="340" t="inlineStr">
        <is>
          <t>Anonimato y dificultad de trazabilidad; operacion transfronteriza.</t>
        </is>
      </c>
      <c r="O34" s="340" t="inlineStr">
        <is>
          <t>Riesgo de LD/FT, sanciones y bloqueo de cuentas; deteccion por UIF.</t>
        </is>
      </c>
    </row>
    <row r="35" ht="74.25" customHeight="1" s="173">
      <c r="B35" s="340" t="n">
        <v>30</v>
      </c>
      <c r="C35" s="340" t="inlineStr">
        <is>
          <t>XVI</t>
        </is>
      </c>
      <c r="D35" s="340" t="inlineStr">
        <is>
          <t>Activos virtuales (PSAV): cobro de contraprestación (comisión) por el servicio</t>
        </is>
      </c>
      <c r="E35" s="340" t="inlineStr">
        <is>
          <t>XVI - Activos virtuales (PSAV): cobro de contraprestación (comisión) por el servicio</t>
        </is>
      </c>
      <c r="F35" s="341" t="inlineStr">
        <is>
          <t>Siempre</t>
        </is>
      </c>
      <c r="G35" s="341" t="n">
        <v>4</v>
      </c>
      <c r="H35" s="342">
        <f>IF(ISNUMBER($F35),$F35*PARAMETROS!$C$22,$F35)</f>
        <v/>
      </c>
      <c r="I35" s="342">
        <f>IF(ISNUMBER($G35),$G35*PARAMETROS!$C$22,$G35)</f>
        <v/>
      </c>
      <c r="J35" s="340" t="inlineStr">
        <is>
          <t>Cobro de comisiones a clientes de alto riesgo o en efectivo, sin trazabilidad del pago.</t>
        </is>
      </c>
      <c r="K35" s="340" t="inlineStr">
        <is>
          <t>Comisiones con pagos mixtos e identificacion parcial.</t>
        </is>
      </c>
      <c r="L35" s="340" t="inlineStr">
        <is>
          <t>Comisiones cobradas por medios trazables con cliente identificado.</t>
        </is>
      </c>
      <c r="M35" s="340" t="inlineStr">
        <is>
          <t>Uso del cobro de comisiones para justificar flujos o fragmentar operaciones.</t>
        </is>
      </c>
      <c r="N35" s="340" t="inlineStr">
        <is>
          <t>Falta de trazabilidad en el cobro y bajo umbral de deteccion (4 UMA).</t>
        </is>
      </c>
      <c r="O35" s="340" t="inlineStr">
        <is>
          <t>Riesgo de simulacion y de omitir operaciones sujetas a aviso.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tabColor rgb="FF808080"/>
    <outlinePr summaryBelow="1" summaryRight="1"/>
    <pageSetUpPr fitToPage="0"/>
  </sheetPr>
  <dimension ref="A2:G75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hidden="1" width="30" customWidth="1" style="172" min="1" max="1"/>
    <col width="28" customWidth="1" style="172" min="2" max="2"/>
    <col width="6" customWidth="1" style="172" min="3" max="3"/>
    <col width="30" customWidth="1" style="172" min="4" max="4"/>
    <col width="42" customWidth="1" style="172" min="5" max="7"/>
  </cols>
  <sheetData>
    <row r="2" ht="21.75" customHeight="1" s="173">
      <c r="B2" s="201" t="inlineStr">
        <is>
          <t>BASE · 30 actividades × 25 indicadores = 750 perfiles</t>
        </is>
      </c>
    </row>
    <row r="3" ht="15" customHeight="1" s="173">
      <c r="B3" s="343" t="inlineStr">
        <is>
          <t>Referencia: 30 Actividades Vulnerables × 25 indicadores. No se edita.</t>
        </is>
      </c>
    </row>
    <row r="5" ht="15" customHeight="1" s="173">
      <c r="A5" s="178" t="inlineStr">
        <is>
          <t>Clave</t>
        </is>
      </c>
      <c r="B5" s="178" t="inlineStr">
        <is>
          <t>Actividad</t>
        </is>
      </c>
      <c r="C5" s="178" t="inlineStr">
        <is>
          <t>Núm.</t>
        </is>
      </c>
      <c r="D5" s="178" t="inlineStr">
        <is>
          <t>Indicador</t>
        </is>
      </c>
      <c r="E5" s="178" t="inlineStr">
        <is>
          <t>Perfil ALTO</t>
        </is>
      </c>
      <c r="F5" s="178" t="inlineStr">
        <is>
          <t>Perfil MEDIO</t>
        </is>
      </c>
      <c r="G5" s="178" t="inlineStr">
        <is>
          <t>Perfil BAJO</t>
        </is>
      </c>
    </row>
    <row r="6" ht="18.75" customHeight="1" s="173">
      <c r="A6" s="208">
        <f>B6&amp;"-"&amp;C6</f>
        <v/>
      </c>
      <c r="B6" s="344" t="inlineStr">
        <is>
          <t>I - Juegos con apuesta</t>
        </is>
      </c>
      <c r="C6" s="345" t="n">
        <v>1</v>
      </c>
      <c r="D6" s="208" t="inlineStr">
        <is>
          <t>Valor del producto o servicio</t>
        </is>
      </c>
      <c r="E6" s="208" t="inlineStr">
        <is>
          <t>Apuestas o compra de fichas de alto monto unitario, muy por encima del juego promedio.</t>
        </is>
      </c>
      <c r="F6" s="208" t="inlineStr">
        <is>
          <t>Apuestas de monto moderado, recurrentes dentro de rangos habituales del salón.</t>
        </is>
      </c>
      <c r="G6" s="208" t="inlineStr">
        <is>
          <t>Apuestas de bajo monto propias de juego recreativo.</t>
        </is>
      </c>
    </row>
    <row r="7" ht="18.75" customHeight="1" s="173">
      <c r="A7" s="208">
        <f>B7&amp;"-"&amp;C7</f>
        <v/>
      </c>
      <c r="B7" s="344" t="inlineStr">
        <is>
          <t>I - Juegos con apuesta</t>
        </is>
      </c>
      <c r="C7" s="345" t="n">
        <v>2</v>
      </c>
      <c r="D7" s="208" t="inlineStr">
        <is>
          <t>Liquidez / convertibilidad</t>
        </is>
      </c>
      <c r="E7" s="208" t="inlineStr">
        <is>
          <t>Fichas o saldos convertibles en efectivo casi sin jugar (cash-out inmediato).</t>
        </is>
      </c>
      <c r="F7" s="208" t="inlineStr">
        <is>
          <t>Conversión parcial de saldos con algo de juego previo.</t>
        </is>
      </c>
      <c r="G7" s="208" t="inlineStr">
        <is>
          <t>Premios pagados a cuenta bancaria, con juego efectivo comprobable.</t>
        </is>
      </c>
    </row>
    <row r="8" ht="18.75" customHeight="1" s="173">
      <c r="A8" s="208">
        <f>B8&amp;"-"&amp;C8</f>
        <v/>
      </c>
      <c r="B8" s="344" t="inlineStr">
        <is>
          <t>I - Juegos con apuesta</t>
        </is>
      </c>
      <c r="C8" s="345" t="n">
        <v>3</v>
      </c>
      <c r="D8" s="208" t="inlineStr">
        <is>
          <t>Anonimato / identificación del beneficiario</t>
        </is>
      </c>
      <c r="E8" s="208" t="inlineStr">
        <is>
          <t>Juego en efectivo o en línea sin identificar al beneficiario final del premio.</t>
        </is>
      </c>
      <c r="F8" s="208" t="inlineStr">
        <is>
          <t>Cliente identificado pero con premios cobrados por terceros ocasionales.</t>
        </is>
      </c>
      <c r="G8" s="208" t="inlineStr">
        <is>
          <t>Beneficiario identificado y premio cobrado por el mismo jugador.</t>
        </is>
      </c>
    </row>
    <row r="9" ht="18.75" customHeight="1" s="173">
      <c r="A9" s="208">
        <f>B9&amp;"-"&amp;C9</f>
        <v/>
      </c>
      <c r="B9" s="344" t="inlineStr">
        <is>
          <t>I - Juegos con apuesta</t>
        </is>
      </c>
      <c r="C9" s="345" t="n">
        <v>4</v>
      </c>
      <c r="D9" s="208" t="inlineStr">
        <is>
          <t>Transferencia u ocultamiento de valor</t>
        </is>
      </c>
      <c r="E9" s="208" t="inlineStr">
        <is>
          <t>Uso del casino para 'lavar' fichas o mover saldos entre plataformas sin trazabilidad.</t>
        </is>
      </c>
      <c r="F9" s="208" t="inlineStr">
        <is>
          <t>Movimientos de saldo entre productos con trazabilidad parcial.</t>
        </is>
      </c>
      <c r="G9" s="208" t="inlineStr">
        <is>
          <t>Flujo cerrado: depósito, juego y retiro a la misma cuenta identificada.</t>
        </is>
      </c>
    </row>
    <row r="10" ht="18.75" customHeight="1" s="173">
      <c r="A10" s="208">
        <f>B10&amp;"-"&amp;C10</f>
        <v/>
      </c>
      <c r="B10" s="344" t="inlineStr">
        <is>
          <t>I - Juegos con apuesta</t>
        </is>
      </c>
      <c r="C10" s="345" t="n">
        <v>5</v>
      </c>
      <c r="D10" s="208" t="inlineStr">
        <is>
          <t>Exposición del acto u operación al financiamiento al terrorismo</t>
        </is>
      </c>
      <c r="E10" s="208" t="inlineStr">
        <is>
          <t>Compra y cobro de fichas o saldos usados como vehículo para colocar y remitir fondos a personas u organizaciones señaladas en listas de sanciones, o cuentas de juego operadas desde jurisdicciones en conflicto.</t>
        </is>
      </c>
      <c r="F10" s="208" t="inlineStr">
        <is>
          <t>Cuentas de juego con actividad atípica hacia el extranjero, sin coincidencias en listas pero sin justificación clara del patrón.</t>
        </is>
      </c>
      <c r="G10" s="208" t="inlineStr">
        <is>
          <t>Juego recreativo con jugador identificado, sin flujos al extranjero ni coincidencias en listas.</t>
        </is>
      </c>
    </row>
    <row r="11" ht="18.75" customHeight="1" s="173">
      <c r="A11" s="208">
        <f>B11&amp;"-"&amp;C11</f>
        <v/>
      </c>
      <c r="B11" s="344" t="inlineStr">
        <is>
          <t>I - Juegos con apuesta</t>
        </is>
      </c>
      <c r="C11" s="345" t="n">
        <v>6</v>
      </c>
      <c r="D11" s="208" t="inlineStr">
        <is>
          <t>Tipo de persona y estructura</t>
        </is>
      </c>
      <c r="E11" s="208" t="inlineStr">
        <is>
          <t>Jugador vinculado a persona moral extranjera o estructura opaca que financia el juego.</t>
        </is>
      </c>
      <c r="F11" s="208" t="inlineStr">
        <is>
          <t>Persona física con actividad económica poco clara que sustenta el juego.</t>
        </is>
      </c>
      <c r="G11" s="208" t="inlineStr">
        <is>
          <t>Persona física identificada con perfil económico congruente con sus apuestas.</t>
        </is>
      </c>
    </row>
    <row r="12" ht="18.75" customHeight="1" s="173">
      <c r="A12" s="208">
        <f>B12&amp;"-"&amp;C12</f>
        <v/>
      </c>
      <c r="B12" s="344" t="inlineStr">
        <is>
          <t>I - Juegos con apuesta</t>
        </is>
      </c>
      <c r="C12" s="345" t="n">
        <v>7</v>
      </c>
      <c r="D12" s="208" t="inlineStr">
        <is>
          <t>Edad / fecha de constitución</t>
        </is>
      </c>
      <c r="E12" s="208" t="inlineStr">
        <is>
          <t>Jugador muy joven o recién mayor de edad con apuestas desproporcionadas a su perfil.</t>
        </is>
      </c>
      <c r="F12" s="208" t="inlineStr">
        <is>
          <t>Jugador con perfil de ingresos moderadamente incongruente con el monto apostado.</t>
        </is>
      </c>
      <c r="G12" s="208" t="inlineStr">
        <is>
          <t>Jugador de perfil y edad congruentes con el nivel de apuesta.</t>
        </is>
      </c>
    </row>
    <row r="13" ht="18.75" customHeight="1" s="173">
      <c r="A13" s="208">
        <f>B13&amp;"-"&amp;C13</f>
        <v/>
      </c>
      <c r="B13" s="344" t="inlineStr">
        <is>
          <t>I - Juegos con apuesta</t>
        </is>
      </c>
      <c r="C13" s="345" t="n">
        <v>8</v>
      </c>
      <c r="D13" s="208" t="inlineStr">
        <is>
          <t>Actividad económica o giro (y fuente de ingresos)</t>
        </is>
      </c>
      <c r="E13" s="208" t="inlineStr">
        <is>
          <t>Ingresos informales, de giro intensivo en efectivo o vinculados a otra actividad vulnerable.</t>
        </is>
      </c>
      <c r="F13" s="208" t="inlineStr">
        <is>
          <t>Actividad formal pero con componente relevante de efectivo.</t>
        </is>
      </c>
      <c r="G13" s="208" t="inlineStr">
        <is>
          <t>Ingresos formales y comprobables acordes al nivel de juego.</t>
        </is>
      </c>
    </row>
    <row r="14" ht="18.75" customHeight="1" s="173">
      <c r="A14" s="208">
        <f>B14&amp;"-"&amp;C14</f>
        <v/>
      </c>
      <c r="B14" s="344" t="inlineStr">
        <is>
          <t>I - Juegos con apuesta</t>
        </is>
      </c>
      <c r="C14" s="345" t="n">
        <v>9</v>
      </c>
      <c r="D14" s="208" t="inlineStr">
        <is>
          <t>Nacionalidad del cliente</t>
        </is>
      </c>
      <c r="E14" s="208" t="inlineStr">
        <is>
          <t>Cliente de país en listas GAFI, sancionado o con régimen fiscal preferente.</t>
        </is>
      </c>
      <c r="F14" s="208" t="inlineStr">
        <is>
          <t>Cliente extranjero de país sin deficiencias GAFI pero con controles limitados.</t>
        </is>
      </c>
      <c r="G14" s="208" t="inlineStr">
        <is>
          <t>Cliente mexicano o de país cooperante, plenamente identificado.</t>
        </is>
      </c>
    </row>
    <row r="15" ht="18.75" customHeight="1" s="173">
      <c r="A15" s="208">
        <f>B15&amp;"-"&amp;C15</f>
        <v/>
      </c>
      <c r="B15" s="344" t="inlineStr">
        <is>
          <t>I - Juegos con apuesta</t>
        </is>
      </c>
      <c r="C15" s="345" t="n">
        <v>10</v>
      </c>
      <c r="D15" s="208" t="inlineStr">
        <is>
          <t>País (y en su caso, estado) de residencia del cliente</t>
        </is>
      </c>
      <c r="E15" s="208" t="inlineStr">
        <is>
          <t>Residencia en jurisdicción de alto riesgo o domicilio no verificable.</t>
        </is>
      </c>
      <c r="F15" s="208" t="inlineStr">
        <is>
          <t>Residencia extranjera verificable o en entidad de riesgo moderado.</t>
        </is>
      </c>
      <c r="G15" s="208" t="inlineStr">
        <is>
          <t>Residencia nacional comprobable con documentación vigente.</t>
        </is>
      </c>
    </row>
    <row r="16" ht="18.75" customHeight="1" s="173">
      <c r="A16" s="208">
        <f>B16&amp;"-"&amp;C16</f>
        <v/>
      </c>
      <c r="B16" s="344" t="inlineStr">
        <is>
          <t>I - Juegos con apuesta</t>
        </is>
      </c>
      <c r="C16" s="345" t="n">
        <v>11</v>
      </c>
      <c r="D16" s="208" t="inlineStr">
        <is>
          <t>Condición PEP</t>
        </is>
      </c>
      <c r="E16" s="208" t="inlineStr">
        <is>
          <t>PEP nacional o extranjera, o allegado/familiar de un PEP.</t>
        </is>
      </c>
      <c r="F16" s="208" t="inlineStr">
        <is>
          <t>Vínculos indirectos con un PEP o ex-PEP fuera del periodo sensible.</t>
        </is>
      </c>
      <c r="G16" s="208" t="inlineStr">
        <is>
          <t>Sin condición PEP ni vínculos con personas políticamente expuestas.</t>
        </is>
      </c>
    </row>
    <row r="17" ht="18.75" customHeight="1" s="173">
      <c r="A17" s="208">
        <f>B17&amp;"-"&amp;C17</f>
        <v/>
      </c>
      <c r="B17" s="344" t="inlineStr">
        <is>
          <t>I - Juegos con apuesta</t>
        </is>
      </c>
      <c r="C17" s="345" t="n">
        <v>12</v>
      </c>
      <c r="D17" s="208" t="inlineStr">
        <is>
          <t>Coincidencia en listas de personas bloqueadas o de sanciones</t>
        </is>
      </c>
      <c r="E17" s="208" t="inlineStr">
        <is>
          <t>El jugador, su beneficiario controlador, apoderado o contraparte aparece en la Lista de Personas Bloqueadas, en listas de sanciones o en listas de organizaciones terroristas, o presenta una coincidencia fuerte que no ha sido descartada.</t>
        </is>
      </c>
      <c r="F17" s="208" t="inlineStr">
        <is>
          <t>Se detecta coincidencia parcial u homonimia respecto del jugador o de alguna persona relacionada, y el descarte se encuentra en proceso con constancia documental.</t>
        </is>
      </c>
      <c r="G17" s="208" t="inlineStr">
        <is>
          <t>Búsqueda realizada y documentada sobre el jugador y sus personas relacionadas, sin coincidencias.</t>
        </is>
      </c>
    </row>
    <row r="18" ht="18.75" customHeight="1" s="173">
      <c r="A18" s="208">
        <f>B18&amp;"-"&amp;C18</f>
        <v/>
      </c>
      <c r="B18" s="344" t="inlineStr">
        <is>
          <t>I - Juegos con apuesta</t>
        </is>
      </c>
      <c r="C18" s="345" t="n">
        <v>13</v>
      </c>
      <c r="D18" s="208" t="inlineStr">
        <is>
          <t>Identificación y complejidad del Beneficiario Controlador</t>
        </is>
      </c>
      <c r="E18" s="208" t="inlineStr">
        <is>
          <t>No se logra identificar al beneficiario controlador del jugador, o la estructura interpone dos o más niveles societarios, fiduciarios o vehículos constituidos en el extranjero para llegar al 25 por ciento.</t>
        </is>
      </c>
      <c r="F18" s="208" t="inlineStr">
        <is>
          <t>Beneficiario controlador identificado, pero a través de una estructura de más de un nivel o con participación indirecta que exigió reconstruir la cadena de control con documentos.</t>
        </is>
      </c>
      <c r="G18" s="208" t="inlineStr">
        <is>
          <t>Beneficiario controlador identificado de forma directa y documentada: persona física que posee al menos el 25 por ciento o que ejerce el control por otra vía acreditada.</t>
        </is>
      </c>
    </row>
    <row r="19" ht="18.75" customHeight="1" s="173">
      <c r="A19" s="208">
        <f>B19&amp;"-"&amp;C19</f>
        <v/>
      </c>
      <c r="B19" s="344" t="inlineStr">
        <is>
          <t>I - Juegos con apuesta</t>
        </is>
      </c>
      <c r="C19" s="345" t="n">
        <v>14</v>
      </c>
      <c r="D19" s="208" t="inlineStr">
        <is>
          <t>País / jurisdicción donde se realiza la operación</t>
        </is>
      </c>
      <c r="E19" s="208" t="inlineStr">
        <is>
          <t>Operación con o desde jurisdicción de alto riesgo o no cooperante.</t>
        </is>
      </c>
      <c r="F19" s="208" t="inlineStr">
        <is>
          <t>Operación con jurisdicción extranjera de riesgo moderado y trazabilidad parcial.</t>
        </is>
      </c>
      <c r="G19" s="208" t="inlineStr">
        <is>
          <t>Operación íntegramente nacional con contraparte identificada.</t>
        </is>
      </c>
    </row>
    <row r="20" ht="18.75" customHeight="1" s="173">
      <c r="A20" s="208">
        <f>B20&amp;"-"&amp;C20</f>
        <v/>
      </c>
      <c r="B20" s="344" t="inlineStr">
        <is>
          <t>I - Juegos con apuesta</t>
        </is>
      </c>
      <c r="C20" s="345" t="n">
        <v>15</v>
      </c>
      <c r="D20" s="208" t="inlineStr">
        <is>
          <t>Área geográfica nacional de la operación</t>
        </is>
      </c>
      <c r="E20" s="208" t="inlineStr">
        <is>
          <t>Operación en zona de alta incidencia delictiva, marginación o franja fronteriza.</t>
        </is>
      </c>
      <c r="F20" s="208" t="inlineStr">
        <is>
          <t>Operación en zona urbana con incidencia delictiva moderada.</t>
        </is>
      </c>
      <c r="G20" s="208" t="inlineStr">
        <is>
          <t>Operación en zona de bajo riesgo y presencia institucional consolidada.</t>
        </is>
      </c>
    </row>
    <row r="21" ht="18.75" customHeight="1" s="173">
      <c r="A21" s="208">
        <f>B21&amp;"-"&amp;C21</f>
        <v/>
      </c>
      <c r="B21" s="344" t="inlineStr">
        <is>
          <t>I - Juegos con apuesta</t>
        </is>
      </c>
      <c r="C21" s="345" t="n">
        <v>16</v>
      </c>
      <c r="D21" s="208" t="inlineStr">
        <is>
          <t>Vínculo con jurisdicciones sancionadas, en conflicto o de acción requerida por el GAFI</t>
        </is>
      </c>
      <c r="E21" s="208" t="inlineStr">
        <is>
          <t>Existe exposición a jurisdicciones sancionadas, en conflicto armado o de acción requerida del GAFI, por la vía de juego en línea desde el extranjero y cobro de premios fuera del país.</t>
        </is>
      </c>
      <c r="F21" s="208" t="inlineStr">
        <is>
          <t>Vínculo con jurisdicciones bajo monitoreo intensificado del GAFI o con deficiencias señaladas en la ENR, sin estar sancionadas ni en conflicto.</t>
        </is>
      </c>
      <c r="G21" s="208" t="inlineStr">
        <is>
          <t>Sin vínculo con jurisdicciones sancionadas, en conflicto o listadas por el GAFI; la operación y sus partes se ubican en plazas sin señalamientos.</t>
        </is>
      </c>
    </row>
    <row r="22" ht="18.75" customHeight="1" s="173">
      <c r="A22" s="208">
        <f>B22&amp;"-"&amp;C22</f>
        <v/>
      </c>
      <c r="B22" s="344" t="inlineStr">
        <is>
          <t>I - Juegos con apuesta</t>
        </is>
      </c>
      <c r="C22" s="345" t="n">
        <v>17</v>
      </c>
      <c r="D22" s="208" t="inlineStr">
        <is>
          <t>Congruencia entre el domicilio del Cliente y el lugar de la operación</t>
        </is>
      </c>
      <c r="E22" s="208" t="inlineStr">
        <is>
          <t>El domicilio del jugador no guarda relación económica ni logística con el lugar donde se realiza la apuesta o el pago del premio, y no existe explicación documentada del desplazamiento.</t>
        </is>
      </c>
      <c r="F22" s="208" t="inlineStr">
        <is>
          <t>Existe distancia relevante entre el domicilio del jugador y el lugar de la operación, con explicación plausible pero no soportada en el expediente.</t>
        </is>
      </c>
      <c r="G22" s="208" t="inlineStr">
        <is>
          <t>El domicilio del jugador corresponde a la plaza donde se realiza la apuesta o el pago del premio, o el desplazamiento está justificado y documentado.</t>
        </is>
      </c>
    </row>
    <row r="23" ht="18.75" customHeight="1" s="173">
      <c r="A23" s="208">
        <f>B23&amp;"-"&amp;C23</f>
        <v/>
      </c>
      <c r="B23" s="344" t="inlineStr">
        <is>
          <t>I - Juegos con apuesta</t>
        </is>
      </c>
      <c r="C23" s="345" t="n">
        <v>18</v>
      </c>
      <c r="D23" s="208" t="inlineStr">
        <is>
          <t>Instrumento monetario</t>
        </is>
      </c>
      <c r="E23" s="208" t="inlineStr">
        <is>
          <t>Apuestas y cobros en efectivo, fichas al portador o criptoactivos.</t>
        </is>
      </c>
      <c r="F23" s="208" t="inlineStr">
        <is>
          <t>Mezcla de efectivo y medios electrónicos en el juego.</t>
        </is>
      </c>
      <c r="G23" s="208" t="inlineStr">
        <is>
          <t>Apuestas con tarjeta bancaria o monedero electrónico trazable.</t>
        </is>
      </c>
    </row>
    <row r="24" ht="18.75" customHeight="1" s="173">
      <c r="A24" s="208">
        <f>B24&amp;"-"&amp;C24</f>
        <v/>
      </c>
      <c r="B24" s="344" t="inlineStr">
        <is>
          <t>I - Juegos con apuesta</t>
        </is>
      </c>
      <c r="C24" s="345" t="n">
        <v>19</v>
      </c>
      <c r="D24" s="208" t="inlineStr">
        <is>
          <t>Tipo de moneda</t>
        </is>
      </c>
      <c r="E24" s="208" t="inlineStr">
        <is>
          <t>Operación en moneda extranjera distinta al USD o en criptomonedas.</t>
        </is>
      </c>
      <c r="F24" s="208" t="inlineStr">
        <is>
          <t>Operación en dólares estadounidenses con soporte documental.</t>
        </is>
      </c>
      <c r="G24" s="208" t="inlineStr">
        <is>
          <t>Operación en pesos mexicanos plenamente trazable.</t>
        </is>
      </c>
    </row>
    <row r="25" ht="18.75" customHeight="1" s="173">
      <c r="A25" s="208">
        <f>B25&amp;"-"&amp;C25</f>
        <v/>
      </c>
      <c r="B25" s="344" t="inlineStr">
        <is>
          <t>I - Juegos con apuesta</t>
        </is>
      </c>
      <c r="C25" s="345" t="n">
        <v>20</v>
      </c>
      <c r="D25" s="208" t="inlineStr">
        <is>
          <t>Monto frente a umbrales LFPIORPI</t>
        </is>
      </c>
      <c r="E25" s="208" t="inlineStr">
        <is>
          <t>Acumulado de apuestas o cobros supera 645 UMA (umbral de aviso) en el periodo.</t>
        </is>
      </c>
      <c r="F25" s="208" t="inlineStr">
        <is>
          <t>Operación cercana al umbral de 645 UMA sin superarlo.</t>
        </is>
      </c>
      <c r="G25" s="208" t="inlineStr">
        <is>
          <t>Montos muy por debajo del umbral de 645 UMA.</t>
        </is>
      </c>
    </row>
    <row r="26" ht="18.75" customHeight="1" s="173">
      <c r="A26" s="208">
        <f>B26&amp;"-"&amp;C26</f>
        <v/>
      </c>
      <c r="B26" s="344" t="inlineStr">
        <is>
          <t>I - Juegos con apuesta</t>
        </is>
      </c>
      <c r="C26" s="345" t="n">
        <v>21</v>
      </c>
      <c r="D26" s="208" t="inlineStr">
        <is>
          <t>Frecuencia (fraccionamiento)</t>
        </is>
      </c>
      <c r="E26" s="208" t="inlineStr">
        <is>
          <t>Apuestas frecuentes o fraccionadas en varias sesiones o cajas para no superar el umbral.</t>
        </is>
      </c>
      <c r="F26" s="208" t="inlineStr">
        <is>
          <t>Frecuencia moderada con algún patrón de fraccionamiento.</t>
        </is>
      </c>
      <c r="G26" s="208" t="inlineStr">
        <is>
          <t>Juego esporádico sin señales de fraccionamiento.</t>
        </is>
      </c>
    </row>
    <row r="27" ht="18.75" customHeight="1" s="173">
      <c r="A27" s="208">
        <f>B27&amp;"-"&amp;C27</f>
        <v/>
      </c>
      <c r="B27" s="344" t="inlineStr">
        <is>
          <t>I - Juegos con apuesta</t>
        </is>
      </c>
      <c r="C27" s="345" t="n">
        <v>22</v>
      </c>
      <c r="D27" s="208" t="inlineStr">
        <is>
          <t>Canal (presencial / no presencial / terceros)</t>
        </is>
      </c>
      <c r="E27" s="208" t="inlineStr">
        <is>
          <t>Contratación no presencial o a través de terceros sin contacto directo.</t>
        </is>
      </c>
      <c r="F27" s="208" t="inlineStr">
        <is>
          <t>Operación mixta, presencial e intermediada, con verificación parcial.</t>
        </is>
      </c>
      <c r="G27" s="208" t="inlineStr">
        <is>
          <t>Operación presencial con identificación directa del cliente.</t>
        </is>
      </c>
    </row>
    <row r="28" ht="18.75" customHeight="1" s="173">
      <c r="A28" s="208">
        <f>B28&amp;"-"&amp;C28</f>
        <v/>
      </c>
      <c r="B28" s="344" t="inlineStr">
        <is>
          <t>I - Juegos con apuesta</t>
        </is>
      </c>
      <c r="C28" s="345" t="n">
        <v>23</v>
      </c>
      <c r="D28" s="208" t="inlineStr">
        <is>
          <t>Origen de los recursos</t>
        </is>
      </c>
      <c r="E28" s="208" t="inlineStr">
        <is>
          <t>Fondos de origen no acreditable, en efectivo o de procedencia informal.</t>
        </is>
      </c>
      <c r="F28" s="208" t="inlineStr">
        <is>
          <t>Origen parcialmente documentado con componente de efectivo.</t>
        </is>
      </c>
      <c r="G28" s="208" t="inlineStr">
        <is>
          <t>Origen de fondos acreditado desde cuenta bancaria propia.</t>
        </is>
      </c>
    </row>
    <row r="29" ht="18.75" customHeight="1" s="173">
      <c r="A29" s="208">
        <f>B29&amp;"-"&amp;C29</f>
        <v/>
      </c>
      <c r="B29" s="344" t="inlineStr">
        <is>
          <t>I - Juegos con apuesta</t>
        </is>
      </c>
      <c r="C29" s="345" t="n">
        <v>24</v>
      </c>
      <c r="D29" s="208" t="inlineStr">
        <is>
          <t>Destino de los recursos</t>
        </is>
      </c>
      <c r="E29" s="208" t="inlineStr">
        <is>
          <t>Premios dirigidos a terceros, al exterior o a cuentas sin justificación.</t>
        </is>
      </c>
      <c r="F29" s="208" t="inlineStr">
        <is>
          <t>Destino a cuentas propias con retiros parcialmente justificados.</t>
        </is>
      </c>
      <c r="G29" s="208" t="inlineStr">
        <is>
          <t>Premios abonados a la cuenta bancaria del propio jugador identificado.</t>
        </is>
      </c>
    </row>
    <row r="30" ht="18.75" customHeight="1" s="173">
      <c r="A30" s="208">
        <f>B30&amp;"-"&amp;C30</f>
        <v/>
      </c>
      <c r="B30" s="344" t="inlineStr">
        <is>
          <t>I - Juegos con apuesta</t>
        </is>
      </c>
      <c r="C30" s="345" t="n">
        <v>25</v>
      </c>
      <c r="D30" s="208" t="inlineStr">
        <is>
          <t>Canales e instrumentos idóneos para el financiamiento al terrorismo</t>
        </is>
      </c>
      <c r="E30" s="208" t="inlineStr">
        <is>
          <t>La operación se realiza mediante juego en línea sin verificación biométrica, efectivo en piso y pago de premios a terceros, es decir, medios que permiten mover valor en montos pequeños sin identificar al destinatario final.</t>
        </is>
      </c>
      <c r="F30" s="208" t="inlineStr">
        <is>
          <t>Canal mixto o con verificación parcial: hay registro de la operación pero la trazabilidad del destinatario final es incompleta.</t>
        </is>
      </c>
      <c r="G30" s="208" t="inlineStr">
        <is>
          <t>Juego con cuenta registrada y premio pagado a cuenta bancaria del propio jugador, con trazabilidad completa del origen y del destinatario.</t>
        </is>
      </c>
    </row>
    <row r="31" ht="18.75" customHeight="1" s="173">
      <c r="A31" s="208">
        <f>B31&amp;"-"&amp;C31</f>
        <v/>
      </c>
      <c r="B31" s="344" t="inlineStr">
        <is>
          <t>II - Tarjetas de crédito o servicios</t>
        </is>
      </c>
      <c r="C31" s="345" t="n">
        <v>1</v>
      </c>
      <c r="D31" s="208" t="inlineStr">
        <is>
          <t>Valor del producto o servicio</t>
        </is>
      </c>
      <c r="E31" s="208" t="inlineStr">
        <is>
          <t>Líneas de crédito o servicios de monto inusualmente alto para el perfil del titular.</t>
        </is>
      </c>
      <c r="F31" s="208" t="inlineStr">
        <is>
          <t>Líneas de crédito de monto moderado con uso algo atípico.</t>
        </is>
      </c>
      <c r="G31" s="208" t="inlineStr">
        <is>
          <t>Líneas y servicios de monto habitual acorde al perfil del cliente.</t>
        </is>
      </c>
    </row>
    <row r="32" ht="18.75" customHeight="1" s="173">
      <c r="A32" s="208">
        <f>B32&amp;"-"&amp;C32</f>
        <v/>
      </c>
      <c r="B32" s="344" t="inlineStr">
        <is>
          <t>II - Tarjetas de crédito o servicios</t>
        </is>
      </c>
      <c r="C32" s="345" t="n">
        <v>2</v>
      </c>
      <c r="D32" s="208" t="inlineStr">
        <is>
          <t>Liquidez / convertibilidad</t>
        </is>
      </c>
      <c r="E32" s="208" t="inlineStr">
        <is>
          <t>Disposiciones de efectivo o pagos que convierten el crédito en liquidez inmediata.</t>
        </is>
      </c>
      <c r="F32" s="208" t="inlineStr">
        <is>
          <t>Uso mixto con disposiciones de efectivo ocasionales.</t>
        </is>
      </c>
      <c r="G32" s="208" t="inlineStr">
        <is>
          <t>Uso en consumo trazable sin disposiciones de efectivo relevantes.</t>
        </is>
      </c>
    </row>
    <row r="33" ht="18.75" customHeight="1" s="173">
      <c r="A33" s="208">
        <f>B33&amp;"-"&amp;C33</f>
        <v/>
      </c>
      <c r="B33" s="344" t="inlineStr">
        <is>
          <t>II - Tarjetas de crédito o servicios</t>
        </is>
      </c>
      <c r="C33" s="345" t="n">
        <v>3</v>
      </c>
      <c r="D33" s="208" t="inlineStr">
        <is>
          <t>Anonimato / identificación del beneficiario</t>
        </is>
      </c>
      <c r="E33" s="208" t="inlineStr">
        <is>
          <t>Tarjetas emitidas en el extranjero o a nombre de terceros que ocultan al beneficiario.</t>
        </is>
      </c>
      <c r="F33" s="208" t="inlineStr">
        <is>
          <t>Titular identificado con uso frecuente por terceros autorizados.</t>
        </is>
      </c>
      <c r="G33" s="208" t="inlineStr">
        <is>
          <t>Titular y usuario plenamente identificados y coincidentes.</t>
        </is>
      </c>
    </row>
    <row r="34" ht="18.75" customHeight="1" s="173">
      <c r="A34" s="208">
        <f>B34&amp;"-"&amp;C34</f>
        <v/>
      </c>
      <c r="B34" s="344" t="inlineStr">
        <is>
          <t>II - Tarjetas de crédito o servicios</t>
        </is>
      </c>
      <c r="C34" s="345" t="n">
        <v>4</v>
      </c>
      <c r="D34" s="208" t="inlineStr">
        <is>
          <t>Transferencia u ocultamiento de valor</t>
        </is>
      </c>
      <c r="E34" s="208" t="inlineStr">
        <is>
          <t>Uso de tarjetas para triangular pagos o dispersar fondos ilícitos entre cuentas.</t>
        </is>
      </c>
      <c r="F34" s="208" t="inlineStr">
        <is>
          <t>Movimientos entre cuentas con trazabilidad parcial.</t>
        </is>
      </c>
      <c r="G34" s="208" t="inlineStr">
        <is>
          <t>Pagos a comercios identificados con trazabilidad completa.</t>
        </is>
      </c>
    </row>
    <row r="35" ht="18.75" customHeight="1" s="173">
      <c r="A35" s="208">
        <f>B35&amp;"-"&amp;C35</f>
        <v/>
      </c>
      <c r="B35" s="344" t="inlineStr">
        <is>
          <t>II - Tarjetas de crédito o servicios</t>
        </is>
      </c>
      <c r="C35" s="345" t="n">
        <v>5</v>
      </c>
      <c r="D35" s="208" t="inlineStr">
        <is>
          <t>Exposición del acto u operación al financiamiento al terrorismo</t>
        </is>
      </c>
      <c r="E35" s="208" t="inlineStr">
        <is>
          <t>Uso de la línea o del servicio para financiar viajes, logística o adquisiciones a favor de personas vinculadas con organizaciones terroristas o sujetas a sanciones.</t>
        </is>
      </c>
      <c r="F35" s="208" t="inlineStr">
        <is>
          <t>Disposiciones recurrentes en el extranjero o a favor de terceros, sin coincidencias en listas pero con destino poco claro.</t>
        </is>
      </c>
      <c r="G35" s="208" t="inlineStr">
        <is>
          <t>Uso congruente con el perfil declarado, en territorio nacional y a favor del propio tarjetahabiente.</t>
        </is>
      </c>
    </row>
    <row r="36" ht="18.75" customHeight="1" s="173">
      <c r="A36" s="208">
        <f>B36&amp;"-"&amp;C36</f>
        <v/>
      </c>
      <c r="B36" s="344" t="inlineStr">
        <is>
          <t>II - Tarjetas de crédito o servicios</t>
        </is>
      </c>
      <c r="C36" s="345" t="n">
        <v>6</v>
      </c>
      <c r="D36" s="208" t="inlineStr">
        <is>
          <t>Tipo de persona y estructura</t>
        </is>
      </c>
      <c r="E36" s="208" t="inlineStr">
        <is>
          <t>Titular persona moral extranjera, fideicomiso o estructura opaca.</t>
        </is>
      </c>
      <c r="F36" s="208" t="inlineStr">
        <is>
          <t>Persona moral nacional con estructura de socios poco transparente.</t>
        </is>
      </c>
      <c r="G36" s="208" t="inlineStr">
        <is>
          <t>Persona física o moral nacional con estructura clara y beneficiario conocido.</t>
        </is>
      </c>
    </row>
    <row r="37" ht="18.75" customHeight="1" s="173">
      <c r="A37" s="208">
        <f>B37&amp;"-"&amp;C37</f>
        <v/>
      </c>
      <c r="B37" s="344" t="inlineStr">
        <is>
          <t>II - Tarjetas de crédito o servicios</t>
        </is>
      </c>
      <c r="C37" s="345" t="n">
        <v>7</v>
      </c>
      <c r="D37" s="208" t="inlineStr">
        <is>
          <t>Edad / fecha de constitución</t>
        </is>
      </c>
      <c r="E37" s="208" t="inlineStr">
        <is>
          <t>Titular persona física muy joven o empresa de reciente creación con línea alta.</t>
        </is>
      </c>
      <c r="F37" s="208" t="inlineStr">
        <is>
          <t>Empresa con antigüedad limitada o perfil moderadamente atípico.</t>
        </is>
      </c>
      <c r="G37" s="208" t="inlineStr">
        <is>
          <t>Titular consolidado o empresa con antigüedad e historial claros.</t>
        </is>
      </c>
    </row>
    <row r="38" ht="18.75" customHeight="1" s="173">
      <c r="A38" s="208">
        <f>B38&amp;"-"&amp;C38</f>
        <v/>
      </c>
      <c r="B38" s="344" t="inlineStr">
        <is>
          <t>II - Tarjetas de crédito o servicios</t>
        </is>
      </c>
      <c r="C38" s="345" t="n">
        <v>8</v>
      </c>
      <c r="D38" s="208" t="inlineStr">
        <is>
          <t>Actividad económica o giro (y fuente de ingresos)</t>
        </is>
      </c>
      <c r="E38" s="208" t="inlineStr">
        <is>
          <t>Giro informal, intensivo en efectivo o vinculado a otra actividad vulnerable.</t>
        </is>
      </c>
      <c r="F38" s="208" t="inlineStr">
        <is>
          <t>Actividad formal con componente de efectivo relevante.</t>
        </is>
      </c>
      <c r="G38" s="208" t="inlineStr">
        <is>
          <t>Actividad formal y comprobable congruente con el uso de la tarjeta.</t>
        </is>
      </c>
    </row>
    <row r="39" ht="18.75" customHeight="1" s="173">
      <c r="A39" s="208">
        <f>B39&amp;"-"&amp;C39</f>
        <v/>
      </c>
      <c r="B39" s="344" t="inlineStr">
        <is>
          <t>II - Tarjetas de crédito o servicios</t>
        </is>
      </c>
      <c r="C39" s="345" t="n">
        <v>9</v>
      </c>
      <c r="D39" s="208" t="inlineStr">
        <is>
          <t>Nacionalidad del cliente</t>
        </is>
      </c>
      <c r="E39" s="208" t="inlineStr">
        <is>
          <t>Cliente de país en listas GAFI, sancionado o con régimen fiscal preferente.</t>
        </is>
      </c>
      <c r="F39" s="208" t="inlineStr">
        <is>
          <t>Cliente extranjero de país sin deficiencias GAFI pero con controles limitados.</t>
        </is>
      </c>
      <c r="G39" s="208" t="inlineStr">
        <is>
          <t>Cliente mexicano o de país cooperante, plenamente identificado.</t>
        </is>
      </c>
    </row>
    <row r="40" ht="18.75" customHeight="1" s="173">
      <c r="A40" s="208">
        <f>B40&amp;"-"&amp;C40</f>
        <v/>
      </c>
      <c r="B40" s="344" t="inlineStr">
        <is>
          <t>II - Tarjetas de crédito o servicios</t>
        </is>
      </c>
      <c r="C40" s="345" t="n">
        <v>10</v>
      </c>
      <c r="D40" s="208" t="inlineStr">
        <is>
          <t>País (y en su caso, estado) de residencia del cliente</t>
        </is>
      </c>
      <c r="E40" s="208" t="inlineStr">
        <is>
          <t>Residencia en jurisdicción de alto riesgo o domicilio no verificable.</t>
        </is>
      </c>
      <c r="F40" s="208" t="inlineStr">
        <is>
          <t>Residencia extranjera verificable o en entidad de riesgo moderado.</t>
        </is>
      </c>
      <c r="G40" s="208" t="inlineStr">
        <is>
          <t>Residencia nacional comprobable con documentación vigente.</t>
        </is>
      </c>
    </row>
    <row r="41" ht="18.75" customHeight="1" s="173">
      <c r="A41" s="208">
        <f>B41&amp;"-"&amp;C41</f>
        <v/>
      </c>
      <c r="B41" s="344" t="inlineStr">
        <is>
          <t>II - Tarjetas de crédito o servicios</t>
        </is>
      </c>
      <c r="C41" s="345" t="n">
        <v>11</v>
      </c>
      <c r="D41" s="208" t="inlineStr">
        <is>
          <t>Condición PEP</t>
        </is>
      </c>
      <c r="E41" s="208" t="inlineStr">
        <is>
          <t>PEP nacional o extranjera, o allegado/familiar de un PEP.</t>
        </is>
      </c>
      <c r="F41" s="208" t="inlineStr">
        <is>
          <t>Vínculos indirectos con un PEP o ex-PEP fuera del periodo sensible.</t>
        </is>
      </c>
      <c r="G41" s="208" t="inlineStr">
        <is>
          <t>Sin condición PEP ni vínculos con personas políticamente expuestas.</t>
        </is>
      </c>
    </row>
    <row r="42" ht="18.75" customHeight="1" s="173">
      <c r="A42" s="208">
        <f>B42&amp;"-"&amp;C42</f>
        <v/>
      </c>
      <c r="B42" s="344" t="inlineStr">
        <is>
          <t>II - Tarjetas de crédito o servicios</t>
        </is>
      </c>
      <c r="C42" s="345" t="n">
        <v>12</v>
      </c>
      <c r="D42" s="208" t="inlineStr">
        <is>
          <t>Coincidencia en listas de personas bloqueadas o de sanciones</t>
        </is>
      </c>
      <c r="E42" s="208" t="inlineStr">
        <is>
          <t>El tarjetahabiente, su beneficiario controlador, apoderado o contraparte aparece en la Lista de Personas Bloqueadas, en listas de sanciones o en listas de organizaciones terroristas, o presenta una coincidencia fuerte que no ha sido descartada.</t>
        </is>
      </c>
      <c r="F42" s="208" t="inlineStr">
        <is>
          <t>Se detecta coincidencia parcial u homonimia respecto del tarjetahabiente o de alguna persona relacionada, y el descarte se encuentra en proceso con constancia documental.</t>
        </is>
      </c>
      <c r="G42" s="208" t="inlineStr">
        <is>
          <t>Búsqueda realizada y documentada sobre el tarjetahabiente y sus personas relacionadas, sin coincidencias.</t>
        </is>
      </c>
    </row>
    <row r="43" ht="18.75" customHeight="1" s="173">
      <c r="A43" s="208">
        <f>B43&amp;"-"&amp;C43</f>
        <v/>
      </c>
      <c r="B43" s="344" t="inlineStr">
        <is>
          <t>II - Tarjetas de crédito o servicios</t>
        </is>
      </c>
      <c r="C43" s="345" t="n">
        <v>13</v>
      </c>
      <c r="D43" s="208" t="inlineStr">
        <is>
          <t>Identificación y complejidad del Beneficiario Controlador</t>
        </is>
      </c>
      <c r="E43" s="208" t="inlineStr">
        <is>
          <t>No se logra identificar al beneficiario controlador del tarjetahabiente, o la estructura interpone dos o más niveles societarios, fiduciarios o vehículos constituidos en el extranjero para llegar al 25 por ciento.</t>
        </is>
      </c>
      <c r="F43" s="208" t="inlineStr">
        <is>
          <t>Beneficiario controlador identificado, pero a través de una estructura de más de un nivel o con participación indirecta que exigió reconstruir la cadena de control con documentos.</t>
        </is>
      </c>
      <c r="G43" s="208" t="inlineStr">
        <is>
          <t>Beneficiario controlador identificado de forma directa y documentada: persona física que posee al menos el 25 por ciento o que ejerce el control por otra vía acreditada.</t>
        </is>
      </c>
    </row>
    <row r="44" ht="18.75" customHeight="1" s="173">
      <c r="A44" s="208">
        <f>B44&amp;"-"&amp;C44</f>
        <v/>
      </c>
      <c r="B44" s="344" t="inlineStr">
        <is>
          <t>II - Tarjetas de crédito o servicios</t>
        </is>
      </c>
      <c r="C44" s="345" t="n">
        <v>14</v>
      </c>
      <c r="D44" s="208" t="inlineStr">
        <is>
          <t>País / jurisdicción donde se realiza la operación</t>
        </is>
      </c>
      <c r="E44" s="208" t="inlineStr">
        <is>
          <t>Operación con o desde jurisdicción de alto riesgo o no cooperante.</t>
        </is>
      </c>
      <c r="F44" s="208" t="inlineStr">
        <is>
          <t>Operación con jurisdicción extranjera de riesgo moderado y trazabilidad parcial.</t>
        </is>
      </c>
      <c r="G44" s="208" t="inlineStr">
        <is>
          <t>Operación íntegramente nacional con contraparte identificada.</t>
        </is>
      </c>
    </row>
    <row r="45" ht="18.75" customHeight="1" s="173">
      <c r="A45" s="208">
        <f>B45&amp;"-"&amp;C45</f>
        <v/>
      </c>
      <c r="B45" s="344" t="inlineStr">
        <is>
          <t>II - Tarjetas de crédito o servicios</t>
        </is>
      </c>
      <c r="C45" s="345" t="n">
        <v>15</v>
      </c>
      <c r="D45" s="208" t="inlineStr">
        <is>
          <t>Área geográfica nacional de la operación</t>
        </is>
      </c>
      <c r="E45" s="208" t="inlineStr">
        <is>
          <t>Operación en zona de alta incidencia delictiva, marginación o franja fronteriza.</t>
        </is>
      </c>
      <c r="F45" s="208" t="inlineStr">
        <is>
          <t>Operación en zona urbana con incidencia delictiva moderada.</t>
        </is>
      </c>
      <c r="G45" s="208" t="inlineStr">
        <is>
          <t>Operación en zona de bajo riesgo y presencia institucional consolidada.</t>
        </is>
      </c>
    </row>
    <row r="46" ht="18.75" customHeight="1" s="173">
      <c r="A46" s="208">
        <f>B46&amp;"-"&amp;C46</f>
        <v/>
      </c>
      <c r="B46" s="344" t="inlineStr">
        <is>
          <t>II - Tarjetas de crédito o servicios</t>
        </is>
      </c>
      <c r="C46" s="345" t="n">
        <v>16</v>
      </c>
      <c r="D46" s="208" t="inlineStr">
        <is>
          <t>Vínculo con jurisdicciones sancionadas, en conflicto o de acción requerida por el GAFI</t>
        </is>
      </c>
      <c r="E46" s="208" t="inlineStr">
        <is>
          <t>Existe exposición a jurisdicciones sancionadas, en conflicto armado o de acción requerida del GAFI, por la vía de disposiciones o pagos originados en el extranjero.</t>
        </is>
      </c>
      <c r="F46" s="208" t="inlineStr">
        <is>
          <t>Vínculo con jurisdicciones bajo monitoreo intensificado del GAFI o con deficiencias señaladas en la ENR, sin estar sancionadas ni en conflicto.</t>
        </is>
      </c>
      <c r="G46" s="208" t="inlineStr">
        <is>
          <t>Sin vínculo con jurisdicciones sancionadas, en conflicto o listadas por el GAFI; la operación y sus partes se ubican en plazas sin señalamientos.</t>
        </is>
      </c>
    </row>
    <row r="47" ht="18.75" customHeight="1" s="173">
      <c r="A47" s="208">
        <f>B47&amp;"-"&amp;C47</f>
        <v/>
      </c>
      <c r="B47" s="344" t="inlineStr">
        <is>
          <t>II - Tarjetas de crédito o servicios</t>
        </is>
      </c>
      <c r="C47" s="345" t="n">
        <v>17</v>
      </c>
      <c r="D47" s="208" t="inlineStr">
        <is>
          <t>Congruencia entre el domicilio del Cliente y el lugar de la operación</t>
        </is>
      </c>
      <c r="E47" s="208" t="inlineStr">
        <is>
          <t>El domicilio del tarjetahabiente no guarda relación económica ni logística con el lugar donde se realiza la línea de crédito o el servicio contratado, y no existe explicación documentada del desplazamiento.</t>
        </is>
      </c>
      <c r="F47" s="208" t="inlineStr">
        <is>
          <t>Existe distancia relevante entre el domicilio del tarjetahabiente y el lugar de la operación, con explicación plausible pero no soportada en el expediente.</t>
        </is>
      </c>
      <c r="G47" s="208" t="inlineStr">
        <is>
          <t>El domicilio del tarjetahabiente corresponde a la plaza donde se realiza la línea de crédito o el servicio contratado, o el desplazamiento está justificado y documentado.</t>
        </is>
      </c>
    </row>
    <row r="48" ht="18.75" customHeight="1" s="173">
      <c r="A48" s="208">
        <f>B48&amp;"-"&amp;C48</f>
        <v/>
      </c>
      <c r="B48" s="344" t="inlineStr">
        <is>
          <t>II - Tarjetas de crédito o servicios</t>
        </is>
      </c>
      <c r="C48" s="345" t="n">
        <v>18</v>
      </c>
      <c r="D48" s="208" t="inlineStr">
        <is>
          <t>Instrumento monetario</t>
        </is>
      </c>
      <c r="E48" s="208" t="inlineStr">
        <is>
          <t>Pagos y disposiciones en efectivo, o fondeo con instrumentos al portador o cripto.</t>
        </is>
      </c>
      <c r="F48" s="208" t="inlineStr">
        <is>
          <t>Mezcla de efectivo y transferencias en pagos y disposiciones.</t>
        </is>
      </c>
      <c r="G48" s="208" t="inlineStr">
        <is>
          <t>Uso electrónico trazable sin efectivo relevante.</t>
        </is>
      </c>
    </row>
    <row r="49" ht="18.75" customHeight="1" s="173">
      <c r="A49" s="208">
        <f>B49&amp;"-"&amp;C49</f>
        <v/>
      </c>
      <c r="B49" s="344" t="inlineStr">
        <is>
          <t>II - Tarjetas de crédito o servicios</t>
        </is>
      </c>
      <c r="C49" s="345" t="n">
        <v>19</v>
      </c>
      <c r="D49" s="208" t="inlineStr">
        <is>
          <t>Tipo de moneda</t>
        </is>
      </c>
      <c r="E49" s="208" t="inlineStr">
        <is>
          <t>Operación en moneda extranjera distinta al USD o en criptomonedas.</t>
        </is>
      </c>
      <c r="F49" s="208" t="inlineStr">
        <is>
          <t>Operación en dólares estadounidenses con soporte documental.</t>
        </is>
      </c>
      <c r="G49" s="208" t="inlineStr">
        <is>
          <t>Operación en pesos mexicanos plenamente trazable.</t>
        </is>
      </c>
    </row>
    <row r="50" ht="18.75" customHeight="1" s="173">
      <c r="A50" s="208">
        <f>B50&amp;"-"&amp;C50</f>
        <v/>
      </c>
      <c r="B50" s="344" t="inlineStr">
        <is>
          <t>II - Tarjetas de crédito o servicios</t>
        </is>
      </c>
      <c r="C50" s="345" t="n">
        <v>20</v>
      </c>
      <c r="D50" s="208" t="inlineStr">
        <is>
          <t>Monto frente a umbrales LFPIORPI</t>
        </is>
      </c>
      <c r="E50" s="208" t="inlineStr">
        <is>
          <t>Operación o acumulado supera 1,285 UMA (umbral de aviso) del periodo.</t>
        </is>
      </c>
      <c r="F50" s="208" t="inlineStr">
        <is>
          <t>Operación cercana al umbral de 1,285 UMA sin superarlo.</t>
        </is>
      </c>
      <c r="G50" s="208" t="inlineStr">
        <is>
          <t>Montos muy por debajo del umbral de 1,285 UMA.</t>
        </is>
      </c>
    </row>
    <row r="51" ht="18.75" customHeight="1" s="173">
      <c r="A51" s="208">
        <f>B51&amp;"-"&amp;C51</f>
        <v/>
      </c>
      <c r="B51" s="344" t="inlineStr">
        <is>
          <t>II - Tarjetas de crédito o servicios</t>
        </is>
      </c>
      <c r="C51" s="345" t="n">
        <v>21</v>
      </c>
      <c r="D51" s="208" t="inlineStr">
        <is>
          <t>Frecuencia (fraccionamiento)</t>
        </is>
      </c>
      <c r="E51" s="208" t="inlineStr">
        <is>
          <t>Disposiciones o pagos fraccionados y frecuentes para eludir el umbral.</t>
        </is>
      </c>
      <c r="F51" s="208" t="inlineStr">
        <is>
          <t>Frecuencia moderada con algún indicio de fraccionamiento.</t>
        </is>
      </c>
      <c r="G51" s="208" t="inlineStr">
        <is>
          <t>Uso regular sin señales de fraccionamiento.</t>
        </is>
      </c>
    </row>
    <row r="52" ht="18.75" customHeight="1" s="173">
      <c r="A52" s="208">
        <f>B52&amp;"-"&amp;C52</f>
        <v/>
      </c>
      <c r="B52" s="344" t="inlineStr">
        <is>
          <t>II - Tarjetas de crédito o servicios</t>
        </is>
      </c>
      <c r="C52" s="345" t="n">
        <v>22</v>
      </c>
      <c r="D52" s="208" t="inlineStr">
        <is>
          <t>Canal (presencial / no presencial / terceros)</t>
        </is>
      </c>
      <c r="E52" s="208" t="inlineStr">
        <is>
          <t>Contratación no presencial o a través de terceros sin contacto directo.</t>
        </is>
      </c>
      <c r="F52" s="208" t="inlineStr">
        <is>
          <t>Operación mixta, presencial e intermediada, con verificación parcial.</t>
        </is>
      </c>
      <c r="G52" s="208" t="inlineStr">
        <is>
          <t>Operación presencial con identificación directa del cliente.</t>
        </is>
      </c>
    </row>
    <row r="53" ht="18.75" customHeight="1" s="173">
      <c r="A53" s="208">
        <f>B53&amp;"-"&amp;C53</f>
        <v/>
      </c>
      <c r="B53" s="344" t="inlineStr">
        <is>
          <t>II - Tarjetas de crédito o servicios</t>
        </is>
      </c>
      <c r="C53" s="345" t="n">
        <v>23</v>
      </c>
      <c r="D53" s="208" t="inlineStr">
        <is>
          <t>Origen de los recursos</t>
        </is>
      </c>
      <c r="E53" s="208" t="inlineStr">
        <is>
          <t>Pagos a la tarjeta de origen no acreditable, en efectivo o informal.</t>
        </is>
      </c>
      <c r="F53" s="208" t="inlineStr">
        <is>
          <t>Pagos con origen parcialmente documentado.</t>
        </is>
      </c>
      <c r="G53" s="208" t="inlineStr">
        <is>
          <t>Pagos desde cuenta bancaria propia con origen acreditado.</t>
        </is>
      </c>
    </row>
    <row r="54" ht="18.75" customHeight="1" s="173">
      <c r="A54" s="208">
        <f>B54&amp;"-"&amp;C54</f>
        <v/>
      </c>
      <c r="B54" s="344" t="inlineStr">
        <is>
          <t>II - Tarjetas de crédito o servicios</t>
        </is>
      </c>
      <c r="C54" s="345" t="n">
        <v>24</v>
      </c>
      <c r="D54" s="208" t="inlineStr">
        <is>
          <t>Destino de los recursos</t>
        </is>
      </c>
      <c r="E54" s="208" t="inlineStr">
        <is>
          <t>Disposiciones dirigidas a terceros, al exterior o a cuentas sin justificación.</t>
        </is>
      </c>
      <c r="F54" s="208" t="inlineStr">
        <is>
          <t>Disposiciones a cuentas propias con justificación parcial.</t>
        </is>
      </c>
      <c r="G54" s="208" t="inlineStr">
        <is>
          <t>Consumo o pagos a comercios identificados y justificados.</t>
        </is>
      </c>
    </row>
    <row r="55" ht="18.75" customHeight="1" s="173">
      <c r="A55" s="208">
        <f>B55&amp;"-"&amp;C55</f>
        <v/>
      </c>
      <c r="B55" s="344" t="inlineStr">
        <is>
          <t>II - Tarjetas de crédito o servicios</t>
        </is>
      </c>
      <c r="C55" s="345" t="n">
        <v>25</v>
      </c>
      <c r="D55" s="208" t="inlineStr">
        <is>
          <t>Canales e instrumentos idóneos para el financiamiento al terrorismo</t>
        </is>
      </c>
      <c r="E55" s="208" t="inlineStr">
        <is>
          <t>La operación se realiza mediante contratación no presencial sin verificación reforzada y disposiciones en cajeros del extranjero, es decir, medios que permiten mover valor en montos pequeños sin identificar al destinatario final.</t>
        </is>
      </c>
      <c r="F55" s="208" t="inlineStr">
        <is>
          <t>Canal mixto o con verificación parcial: hay registro de la operación pero la trazabilidad del destinatario final es incompleta.</t>
        </is>
      </c>
      <c r="G55" s="208" t="inlineStr">
        <is>
          <t>Contratación presencial con identificación verificada y disposiciones en territorio nacional, con trazabilidad completa del origen y del destinatario.</t>
        </is>
      </c>
    </row>
    <row r="56" ht="18.75" customHeight="1" s="173">
      <c r="A56" s="208">
        <f>B56&amp;"-"&amp;C56</f>
        <v/>
      </c>
      <c r="B56" s="344" t="inlineStr">
        <is>
          <t>II - Tarjetas prepagadas y monederos electrónicos</t>
        </is>
      </c>
      <c r="C56" s="345" t="n">
        <v>1</v>
      </c>
      <c r="D56" s="208" t="inlineStr">
        <is>
          <t>Valor del producto o servicio</t>
        </is>
      </c>
      <c r="E56" s="208" t="inlineStr">
        <is>
          <t>Tarjetas o monederos de alto saldo, adquiridos de forma masiva.</t>
        </is>
      </c>
      <c r="F56" s="208" t="inlineStr">
        <is>
          <t>Tarjetas de saldo moderado con uso en varios comercios.</t>
        </is>
      </c>
      <c r="G56" s="208" t="inlineStr">
        <is>
          <t>Tarjetas de saldo bajo y límites acotados.</t>
        </is>
      </c>
    </row>
    <row r="57" ht="18.75" customHeight="1" s="173">
      <c r="A57" s="208">
        <f>B57&amp;"-"&amp;C57</f>
        <v/>
      </c>
      <c r="B57" s="344" t="inlineStr">
        <is>
          <t>II - Tarjetas prepagadas y monederos electrónicos</t>
        </is>
      </c>
      <c r="C57" s="345" t="n">
        <v>2</v>
      </c>
      <c r="D57" s="208" t="inlineStr">
        <is>
          <t>Liquidez / convertibilidad</t>
        </is>
      </c>
      <c r="E57" s="208" t="inlineStr">
        <is>
          <t>Saldos fácilmente convertibles en efectivo o retirables en cajeros o comercios.</t>
        </is>
      </c>
      <c r="F57" s="208" t="inlineStr">
        <is>
          <t>Conversión parcial de saldo a efectivo.</t>
        </is>
      </c>
      <c r="G57" s="208" t="inlineStr">
        <is>
          <t>Uso en consumo trazable sin retiro de efectivo relevante.</t>
        </is>
      </c>
    </row>
    <row r="58" ht="18.75" customHeight="1" s="173">
      <c r="A58" s="208">
        <f>B58&amp;"-"&amp;C58</f>
        <v/>
      </c>
      <c r="B58" s="344" t="inlineStr">
        <is>
          <t>II - Tarjetas prepagadas y monederos electrónicos</t>
        </is>
      </c>
      <c r="C58" s="345" t="n">
        <v>3</v>
      </c>
      <c r="D58" s="208" t="inlineStr">
        <is>
          <t>Anonimato / identificación del beneficiario</t>
        </is>
      </c>
      <c r="E58" s="208" t="inlineStr">
        <is>
          <t>Producto adquirido sin identificación plena, permite operar de forma anónima.</t>
        </is>
      </c>
      <c r="F58" s="208" t="inlineStr">
        <is>
          <t>Cliente identificado pero con uso por terceros no registrados.</t>
        </is>
      </c>
      <c r="G58" s="208" t="inlineStr">
        <is>
          <t>Producto nominativo con cliente plenamente identificado.</t>
        </is>
      </c>
    </row>
    <row r="59" ht="18.75" customHeight="1" s="173">
      <c r="A59" s="208">
        <f>B59&amp;"-"&amp;C59</f>
        <v/>
      </c>
      <c r="B59" s="344" t="inlineStr">
        <is>
          <t>II - Tarjetas prepagadas y monederos electrónicos</t>
        </is>
      </c>
      <c r="C59" s="345" t="n">
        <v>4</v>
      </c>
      <c r="D59" s="208" t="inlineStr">
        <is>
          <t>Transferencia u ocultamiento de valor</t>
        </is>
      </c>
      <c r="E59" s="208" t="inlineStr">
        <is>
          <t>Uso de monederos para dispersar fondos y romper la trazabilidad entre operaciones.</t>
        </is>
      </c>
      <c r="F59" s="208" t="inlineStr">
        <is>
          <t>Transferencias de saldo con trazabilidad parcial.</t>
        </is>
      </c>
      <c r="G59" s="208" t="inlineStr">
        <is>
          <t>Flujo cerrado desde cuenta bancaria identificada al consumo.</t>
        </is>
      </c>
    </row>
    <row r="60" ht="18.75" customHeight="1" s="173">
      <c r="A60" s="208">
        <f>B60&amp;"-"&amp;C60</f>
        <v/>
      </c>
      <c r="B60" s="344" t="inlineStr">
        <is>
          <t>II - Tarjetas prepagadas y monederos electrónicos</t>
        </is>
      </c>
      <c r="C60" s="345" t="n">
        <v>5</v>
      </c>
      <c r="D60" s="208" t="inlineStr">
        <is>
          <t>Exposición del acto u operación al financiamiento al terrorismo</t>
        </is>
      </c>
      <c r="E60" s="208" t="inlineStr">
        <is>
          <t>Emisión o fondeo de instrumentos anónimos que permiten trasladar valor a favor de personas listadas o de células en el extranjero sin dejar rastro del beneficiario.</t>
        </is>
      </c>
      <c r="F60" s="208" t="inlineStr">
        <is>
          <t>Compra de varias tarjetas por un mismo adquirente con uso disperso, sin coincidencias en listas.</t>
        </is>
      </c>
      <c r="G60" s="208" t="inlineStr">
        <is>
          <t>Tarjeta nominativa, fondeada por el titular y usada dentro de su perfil declarado.</t>
        </is>
      </c>
    </row>
    <row r="61" ht="18.75" customHeight="1" s="173">
      <c r="A61" s="208">
        <f>B61&amp;"-"&amp;C61</f>
        <v/>
      </c>
      <c r="B61" s="344" t="inlineStr">
        <is>
          <t>II - Tarjetas prepagadas y monederos electrónicos</t>
        </is>
      </c>
      <c r="C61" s="345" t="n">
        <v>6</v>
      </c>
      <c r="D61" s="208" t="inlineStr">
        <is>
          <t>Tipo de persona y estructura</t>
        </is>
      </c>
      <c r="E61" s="208" t="inlineStr">
        <is>
          <t>Adquisición por persona moral extranjera o estructura opaca, o compra masiva por terceros.</t>
        </is>
      </c>
      <c r="F61" s="208" t="inlineStr">
        <is>
          <t>Persona moral nacional con estructura poco transparente.</t>
        </is>
      </c>
      <c r="G61" s="208" t="inlineStr">
        <is>
          <t>Persona física o moral con estructura clara y beneficiario conocido.</t>
        </is>
      </c>
    </row>
    <row r="62" ht="18.75" customHeight="1" s="173">
      <c r="A62" s="208">
        <f>B62&amp;"-"&amp;C62</f>
        <v/>
      </c>
      <c r="B62" s="344" t="inlineStr">
        <is>
          <t>II - Tarjetas prepagadas y monederos electrónicos</t>
        </is>
      </c>
      <c r="C62" s="345" t="n">
        <v>7</v>
      </c>
      <c r="D62" s="208" t="inlineStr">
        <is>
          <t>Edad / fecha de constitución</t>
        </is>
      </c>
      <c r="E62" s="208" t="inlineStr">
        <is>
          <t>Adquirente muy joven o empresa de reciente creación con compras masivas.</t>
        </is>
      </c>
      <c r="F62" s="208" t="inlineStr">
        <is>
          <t>Empresa de antigüedad limitada o perfil atípico moderado.</t>
        </is>
      </c>
      <c r="G62" s="208" t="inlineStr">
        <is>
          <t>Adquirente consolidado con perfil congruente.</t>
        </is>
      </c>
    </row>
    <row r="63" ht="18.75" customHeight="1" s="173">
      <c r="A63" s="208">
        <f>B63&amp;"-"&amp;C63</f>
        <v/>
      </c>
      <c r="B63" s="344" t="inlineStr">
        <is>
          <t>II - Tarjetas prepagadas y monederos electrónicos</t>
        </is>
      </c>
      <c r="C63" s="345" t="n">
        <v>8</v>
      </c>
      <c r="D63" s="208" t="inlineStr">
        <is>
          <t>Actividad económica o giro (y fuente de ingresos)</t>
        </is>
      </c>
      <c r="E63" s="208" t="inlineStr">
        <is>
          <t>Giro informal, intensivo en efectivo o vinculado a otra actividad vulnerable.</t>
        </is>
      </c>
      <c r="F63" s="208" t="inlineStr">
        <is>
          <t>Actividad formal con componente de efectivo relevante.</t>
        </is>
      </c>
      <c r="G63" s="208" t="inlineStr">
        <is>
          <t>Actividad formal y comprobable congruente con el uso.</t>
        </is>
      </c>
    </row>
    <row r="64" ht="18.75" customHeight="1" s="173">
      <c r="A64" s="208">
        <f>B64&amp;"-"&amp;C64</f>
        <v/>
      </c>
      <c r="B64" s="344" t="inlineStr">
        <is>
          <t>II - Tarjetas prepagadas y monederos electrónicos</t>
        </is>
      </c>
      <c r="C64" s="345" t="n">
        <v>9</v>
      </c>
      <c r="D64" s="208" t="inlineStr">
        <is>
          <t>Nacionalidad del cliente</t>
        </is>
      </c>
      <c r="E64" s="208" t="inlineStr">
        <is>
          <t>Cliente de país en listas GAFI, sancionado o con régimen fiscal preferente.</t>
        </is>
      </c>
      <c r="F64" s="208" t="inlineStr">
        <is>
          <t>Cliente extranjero de país sin deficiencias GAFI pero con controles limitados.</t>
        </is>
      </c>
      <c r="G64" s="208" t="inlineStr">
        <is>
          <t>Cliente mexicano o de país cooperante, plenamente identificado.</t>
        </is>
      </c>
    </row>
    <row r="65" ht="18.75" customHeight="1" s="173">
      <c r="A65" s="208">
        <f>B65&amp;"-"&amp;C65</f>
        <v/>
      </c>
      <c r="B65" s="344" t="inlineStr">
        <is>
          <t>II - Tarjetas prepagadas y monederos electrónicos</t>
        </is>
      </c>
      <c r="C65" s="345" t="n">
        <v>10</v>
      </c>
      <c r="D65" s="208" t="inlineStr">
        <is>
          <t>País (y en su caso, estado) de residencia del cliente</t>
        </is>
      </c>
      <c r="E65" s="208" t="inlineStr">
        <is>
          <t>Residencia en jurisdicción de alto riesgo o domicilio no verificable.</t>
        </is>
      </c>
      <c r="F65" s="208" t="inlineStr">
        <is>
          <t>Residencia extranjera verificable o en entidad de riesgo moderado.</t>
        </is>
      </c>
      <c r="G65" s="208" t="inlineStr">
        <is>
          <t>Residencia nacional comprobable con documentación vigente.</t>
        </is>
      </c>
    </row>
    <row r="66" ht="18.75" customHeight="1" s="173">
      <c r="A66" s="208">
        <f>B66&amp;"-"&amp;C66</f>
        <v/>
      </c>
      <c r="B66" s="344" t="inlineStr">
        <is>
          <t>II - Tarjetas prepagadas y monederos electrónicos</t>
        </is>
      </c>
      <c r="C66" s="345" t="n">
        <v>11</v>
      </c>
      <c r="D66" s="208" t="inlineStr">
        <is>
          <t>Condición PEP</t>
        </is>
      </c>
      <c r="E66" s="208" t="inlineStr">
        <is>
          <t>PEP nacional o extranjera, o allegado/familiar de un PEP.</t>
        </is>
      </c>
      <c r="F66" s="208" t="inlineStr">
        <is>
          <t>Vínculos indirectos con un PEP o ex-PEP fuera del periodo sensible.</t>
        </is>
      </c>
      <c r="G66" s="208" t="inlineStr">
        <is>
          <t>Sin condición PEP ni vínculos con personas políticamente expuestas.</t>
        </is>
      </c>
    </row>
    <row r="67" ht="18.75" customHeight="1" s="173">
      <c r="A67" s="208">
        <f>B67&amp;"-"&amp;C67</f>
        <v/>
      </c>
      <c r="B67" s="344" t="inlineStr">
        <is>
          <t>II - Tarjetas prepagadas y monederos electrónicos</t>
        </is>
      </c>
      <c r="C67" s="345" t="n">
        <v>12</v>
      </c>
      <c r="D67" s="208" t="inlineStr">
        <is>
          <t>Coincidencia en listas de personas bloqueadas o de sanciones</t>
        </is>
      </c>
      <c r="E67" s="208" t="inlineStr">
        <is>
          <t>El adquirente, su beneficiario controlador, apoderado o contraparte aparece en la Lista de Personas Bloqueadas, en listas de sanciones o en listas de organizaciones terroristas, o presenta una coincidencia fuerte que no ha sido descartada.</t>
        </is>
      </c>
      <c r="F67" s="208" t="inlineStr">
        <is>
          <t>Se detecta coincidencia parcial u homonimia respecto del adquirente o de alguna persona relacionada, y el descarte se encuentra en proceso con constancia documental.</t>
        </is>
      </c>
      <c r="G67" s="208" t="inlineStr">
        <is>
          <t>Búsqueda realizada y documentada sobre el adquirente y sus personas relacionadas, sin coincidencias.</t>
        </is>
      </c>
    </row>
    <row r="68" ht="18.75" customHeight="1" s="173">
      <c r="A68" s="208">
        <f>B68&amp;"-"&amp;C68</f>
        <v/>
      </c>
      <c r="B68" s="344" t="inlineStr">
        <is>
          <t>II - Tarjetas prepagadas y monederos electrónicos</t>
        </is>
      </c>
      <c r="C68" s="345" t="n">
        <v>13</v>
      </c>
      <c r="D68" s="208" t="inlineStr">
        <is>
          <t>Identificación y complejidad del Beneficiario Controlador</t>
        </is>
      </c>
      <c r="E68" s="208" t="inlineStr">
        <is>
          <t>No se logra identificar al beneficiario controlador del adquirente, o la estructura interpone dos o más niveles societarios, fiduciarios o vehículos constituidos en el extranjero para llegar al 25 por ciento.</t>
        </is>
      </c>
      <c r="F68" s="208" t="inlineStr">
        <is>
          <t>Beneficiario controlador identificado, pero a través de una estructura de más de un nivel o con participación indirecta que exigió reconstruir la cadena de control con documentos.</t>
        </is>
      </c>
      <c r="G68" s="208" t="inlineStr">
        <is>
          <t>Beneficiario controlador identificado de forma directa y documentada: persona física que posee al menos el 25 por ciento o que ejerce el control por otra vía acreditada.</t>
        </is>
      </c>
    </row>
    <row r="69" ht="18.75" customHeight="1" s="173">
      <c r="A69" s="208">
        <f>B69&amp;"-"&amp;C69</f>
        <v/>
      </c>
      <c r="B69" s="344" t="inlineStr">
        <is>
          <t>II - Tarjetas prepagadas y monederos electrónicos</t>
        </is>
      </c>
      <c r="C69" s="345" t="n">
        <v>14</v>
      </c>
      <c r="D69" s="208" t="inlineStr">
        <is>
          <t>País / jurisdicción donde se realiza la operación</t>
        </is>
      </c>
      <c r="E69" s="208" t="inlineStr">
        <is>
          <t>Operación con o desde jurisdicción de alto riesgo o no cooperante.</t>
        </is>
      </c>
      <c r="F69" s="208" t="inlineStr">
        <is>
          <t>Operación con jurisdicción extranjera de riesgo moderado y trazabilidad parcial.</t>
        </is>
      </c>
      <c r="G69" s="208" t="inlineStr">
        <is>
          <t>Operación íntegramente nacional con contraparte identificada.</t>
        </is>
      </c>
    </row>
    <row r="70" ht="18.75" customHeight="1" s="173">
      <c r="A70" s="208">
        <f>B70&amp;"-"&amp;C70</f>
        <v/>
      </c>
      <c r="B70" s="344" t="inlineStr">
        <is>
          <t>II - Tarjetas prepagadas y monederos electrónicos</t>
        </is>
      </c>
      <c r="C70" s="345" t="n">
        <v>15</v>
      </c>
      <c r="D70" s="208" t="inlineStr">
        <is>
          <t>Área geográfica nacional de la operación</t>
        </is>
      </c>
      <c r="E70" s="208" t="inlineStr">
        <is>
          <t>Operación en zona de alta incidencia delictiva, marginación o franja fronteriza.</t>
        </is>
      </c>
      <c r="F70" s="208" t="inlineStr">
        <is>
          <t>Operación en zona urbana con incidencia delictiva moderada.</t>
        </is>
      </c>
      <c r="G70" s="208" t="inlineStr">
        <is>
          <t>Operación en zona de bajo riesgo y presencia institucional consolidada.</t>
        </is>
      </c>
    </row>
    <row r="71" ht="18.75" customHeight="1" s="173">
      <c r="A71" s="208">
        <f>B71&amp;"-"&amp;C71</f>
        <v/>
      </c>
      <c r="B71" s="344" t="inlineStr">
        <is>
          <t>II - Tarjetas prepagadas y monederos electrónicos</t>
        </is>
      </c>
      <c r="C71" s="345" t="n">
        <v>16</v>
      </c>
      <c r="D71" s="208" t="inlineStr">
        <is>
          <t>Vínculo con jurisdicciones sancionadas, en conflicto o de acción requerida por el GAFI</t>
        </is>
      </c>
      <c r="E71" s="208" t="inlineStr">
        <is>
          <t>Existe exposición a jurisdicciones sancionadas, en conflicto armado o de acción requerida del GAFI, por la vía de tarjetas fondeadas o utilizadas fuera del país.</t>
        </is>
      </c>
      <c r="F71" s="208" t="inlineStr">
        <is>
          <t>Vínculo con jurisdicciones bajo monitoreo intensificado del GAFI o con deficiencias señaladas en la ENR, sin estar sancionadas ni en conflicto.</t>
        </is>
      </c>
      <c r="G71" s="208" t="inlineStr">
        <is>
          <t>Sin vínculo con jurisdicciones sancionadas, en conflicto o listadas por el GAFI; la operación y sus partes se ubican en plazas sin señalamientos.</t>
        </is>
      </c>
    </row>
    <row r="72" ht="18.75" customHeight="1" s="173">
      <c r="A72" s="208">
        <f>B72&amp;"-"&amp;C72</f>
        <v/>
      </c>
      <c r="B72" s="344" t="inlineStr">
        <is>
          <t>II - Tarjetas prepagadas y monederos electrónicos</t>
        </is>
      </c>
      <c r="C72" s="345" t="n">
        <v>17</v>
      </c>
      <c r="D72" s="208" t="inlineStr">
        <is>
          <t>Congruencia entre el domicilio del Cliente y el lugar de la operación</t>
        </is>
      </c>
      <c r="E72" s="208" t="inlineStr">
        <is>
          <t>El domicilio del adquirente no guarda relación económica ni logística con el lugar donde se realiza la emisión o el abono de la tarjeta prepagada, y no existe explicación documentada del desplazamiento.</t>
        </is>
      </c>
      <c r="F72" s="208" t="inlineStr">
        <is>
          <t>Existe distancia relevante entre el domicilio del adquirente y el lugar de la operación, con explicación plausible pero no soportada en el expediente.</t>
        </is>
      </c>
      <c r="G72" s="208" t="inlineStr">
        <is>
          <t>El domicilio del adquirente corresponde a la plaza donde se realiza la emisión o el abono de la tarjeta prepagada, o el desplazamiento está justificado y documentado.</t>
        </is>
      </c>
    </row>
    <row r="73" ht="18.75" customHeight="1" s="173">
      <c r="A73" s="208">
        <f>B73&amp;"-"&amp;C73</f>
        <v/>
      </c>
      <c r="B73" s="344" t="inlineStr">
        <is>
          <t>II - Tarjetas prepagadas y monederos electrónicos</t>
        </is>
      </c>
      <c r="C73" s="345" t="n">
        <v>18</v>
      </c>
      <c r="D73" s="208" t="inlineStr">
        <is>
          <t>Instrumento monetario</t>
        </is>
      </c>
      <c r="E73" s="208" t="inlineStr">
        <is>
          <t>Recargas y retiros en efectivo, o fondeo con instrumentos al portador o cripto.</t>
        </is>
      </c>
      <c r="F73" s="208" t="inlineStr">
        <is>
          <t>Recargas mixtas de efectivo y transferencia.</t>
        </is>
      </c>
      <c r="G73" s="208" t="inlineStr">
        <is>
          <t>Recarga desde cuenta bancaria trazable.</t>
        </is>
      </c>
    </row>
    <row r="74" ht="18.75" customHeight="1" s="173">
      <c r="A74" s="208">
        <f>B74&amp;"-"&amp;C74</f>
        <v/>
      </c>
      <c r="B74" s="344" t="inlineStr">
        <is>
          <t>II - Tarjetas prepagadas y monederos electrónicos</t>
        </is>
      </c>
      <c r="C74" s="345" t="n">
        <v>19</v>
      </c>
      <c r="D74" s="208" t="inlineStr">
        <is>
          <t>Tipo de moneda</t>
        </is>
      </c>
      <c r="E74" s="208" t="inlineStr">
        <is>
          <t>Operación en moneda extranjera distinta al USD o en criptomonedas.</t>
        </is>
      </c>
      <c r="F74" s="208" t="inlineStr">
        <is>
          <t>Operación en dólares estadounidenses con soporte documental.</t>
        </is>
      </c>
      <c r="G74" s="208" t="inlineStr">
        <is>
          <t>Operación en pesos mexicanos plenamente trazable.</t>
        </is>
      </c>
    </row>
    <row r="75" ht="18.75" customHeight="1" s="173">
      <c r="A75" s="208">
        <f>B75&amp;"-"&amp;C75</f>
        <v/>
      </c>
      <c r="B75" s="344" t="inlineStr">
        <is>
          <t>II - Tarjetas prepagadas y monederos electrónicos</t>
        </is>
      </c>
      <c r="C75" s="345" t="n">
        <v>20</v>
      </c>
      <c r="D75" s="208" t="inlineStr">
        <is>
          <t>Monto frente a umbrales LFPIORPI</t>
        </is>
      </c>
      <c r="E75" s="208" t="inlineStr">
        <is>
          <t>Recargas o acumulado supera 645 UMA (umbral de aviso) del periodo.</t>
        </is>
      </c>
      <c r="F75" s="208" t="inlineStr">
        <is>
          <t>Operación cercana al umbral de 645 UMA sin superarlo.</t>
        </is>
      </c>
      <c r="G75" s="208" t="inlineStr">
        <is>
          <t>Montos muy por debajo del umbral de 645 UMA.</t>
        </is>
      </c>
    </row>
    <row r="76" ht="18.75" customHeight="1" s="173">
      <c r="A76" s="208">
        <f>B76&amp;"-"&amp;C76</f>
        <v/>
      </c>
      <c r="B76" s="344" t="inlineStr">
        <is>
          <t>II - Tarjetas prepagadas y monederos electrónicos</t>
        </is>
      </c>
      <c r="C76" s="345" t="n">
        <v>21</v>
      </c>
      <c r="D76" s="208" t="inlineStr">
        <is>
          <t>Frecuencia (fraccionamiento)</t>
        </is>
      </c>
      <c r="E76" s="208" t="inlineStr">
        <is>
          <t>Recargas frecuentes o fraccionadas en múltiples tarjetas para eludir el umbral.</t>
        </is>
      </c>
      <c r="F76" s="208" t="inlineStr">
        <is>
          <t>Frecuencia moderada con algún indicio de fraccionamiento.</t>
        </is>
      </c>
      <c r="G76" s="208" t="inlineStr">
        <is>
          <t>Uso esporádico sin señales de fraccionamiento.</t>
        </is>
      </c>
    </row>
    <row r="77" ht="18.75" customHeight="1" s="173">
      <c r="A77" s="208">
        <f>B77&amp;"-"&amp;C77</f>
        <v/>
      </c>
      <c r="B77" s="344" t="inlineStr">
        <is>
          <t>II - Tarjetas prepagadas y monederos electrónicos</t>
        </is>
      </c>
      <c r="C77" s="345" t="n">
        <v>22</v>
      </c>
      <c r="D77" s="208" t="inlineStr">
        <is>
          <t>Canal (presencial / no presencial / terceros)</t>
        </is>
      </c>
      <c r="E77" s="208" t="inlineStr">
        <is>
          <t>Contratación no presencial o a través de terceros sin contacto directo.</t>
        </is>
      </c>
      <c r="F77" s="208" t="inlineStr">
        <is>
          <t>Operación mixta, presencial e intermediada, con verificación parcial.</t>
        </is>
      </c>
      <c r="G77" s="208" t="inlineStr">
        <is>
          <t>Operación presencial con identificación directa del cliente.</t>
        </is>
      </c>
    </row>
    <row r="78" ht="18.75" customHeight="1" s="173">
      <c r="A78" s="208">
        <f>B78&amp;"-"&amp;C78</f>
        <v/>
      </c>
      <c r="B78" s="344" t="inlineStr">
        <is>
          <t>II - Tarjetas prepagadas y monederos electrónicos</t>
        </is>
      </c>
      <c r="C78" s="345" t="n">
        <v>23</v>
      </c>
      <c r="D78" s="208" t="inlineStr">
        <is>
          <t>Origen de los recursos</t>
        </is>
      </c>
      <c r="E78" s="208" t="inlineStr">
        <is>
          <t>Recargas de origen no acreditable, en efectivo o informal.</t>
        </is>
      </c>
      <c r="F78" s="208" t="inlineStr">
        <is>
          <t>Recargas con origen parcialmente documentado.</t>
        </is>
      </c>
      <c r="G78" s="208" t="inlineStr">
        <is>
          <t>Recargas desde cuenta bancaria propia con origen acreditado.</t>
        </is>
      </c>
    </row>
    <row r="79" ht="18.75" customHeight="1" s="173">
      <c r="A79" s="208">
        <f>B79&amp;"-"&amp;C79</f>
        <v/>
      </c>
      <c r="B79" s="344" t="inlineStr">
        <is>
          <t>II - Tarjetas prepagadas y monederos electrónicos</t>
        </is>
      </c>
      <c r="C79" s="345" t="n">
        <v>24</v>
      </c>
      <c r="D79" s="208" t="inlineStr">
        <is>
          <t>Destino de los recursos</t>
        </is>
      </c>
      <c r="E79" s="208" t="inlineStr">
        <is>
          <t>Saldos dirigidos a terceros, al exterior o a retiros sin justificación.</t>
        </is>
      </c>
      <c r="F79" s="208" t="inlineStr">
        <is>
          <t>Saldos a cuentas propias con justificación parcial.</t>
        </is>
      </c>
      <c r="G79" s="208" t="inlineStr">
        <is>
          <t>Consumo en comercios identificados y justificados.</t>
        </is>
      </c>
    </row>
    <row r="80" ht="18.75" customHeight="1" s="173">
      <c r="A80" s="208">
        <f>B80&amp;"-"&amp;C80</f>
        <v/>
      </c>
      <c r="B80" s="344" t="inlineStr">
        <is>
          <t>II - Tarjetas prepagadas y monederos electrónicos</t>
        </is>
      </c>
      <c r="C80" s="345" t="n">
        <v>25</v>
      </c>
      <c r="D80" s="208" t="inlineStr">
        <is>
          <t>Canales e instrumentos idóneos para el financiamiento al terrorismo</t>
        </is>
      </c>
      <c r="E80" s="208" t="inlineStr">
        <is>
          <t>La operación se realiza mediante compra anónima en punto de venta, fondeo en efectivo y uso transfronterizo, es decir, medios que permiten mover valor en montos pequeños sin identificar al destinatario final.</t>
        </is>
      </c>
      <c r="F80" s="208" t="inlineStr">
        <is>
          <t>Canal mixto o con verificación parcial: hay registro de la operación pero la trazabilidad del destinatario final es incompleta.</t>
        </is>
      </c>
      <c r="G80" s="208" t="inlineStr">
        <is>
          <t>Emisión nominativa con identificación previa y fondeo desde cuenta bancaria del titular, con trazabilidad completa del origen y del destinatario.</t>
        </is>
      </c>
    </row>
    <row r="81" ht="18.75" customHeight="1" s="173">
      <c r="A81" s="208">
        <f>B81&amp;"-"&amp;C81</f>
        <v/>
      </c>
      <c r="B81" s="344" t="inlineStr">
        <is>
          <t>III - Cheques de viajero</t>
        </is>
      </c>
      <c r="C81" s="345" t="n">
        <v>1</v>
      </c>
      <c r="D81" s="208" t="inlineStr">
        <is>
          <t>Valor del producto o servicio</t>
        </is>
      </c>
      <c r="E81" s="208" t="inlineStr">
        <is>
          <t>Cheques de alto monto o gran volumen, muy por encima del uso turístico.</t>
        </is>
      </c>
      <c r="F81" s="208" t="inlineStr">
        <is>
          <t>Cheques de monto moderado de uso ocasional.</t>
        </is>
      </c>
      <c r="G81" s="208" t="inlineStr">
        <is>
          <t>Cheques de bajo monto acordes a un viaje típico.</t>
        </is>
      </c>
    </row>
    <row r="82" ht="18.75" customHeight="1" s="173">
      <c r="A82" s="208">
        <f>B82&amp;"-"&amp;C82</f>
        <v/>
      </c>
      <c r="B82" s="344" t="inlineStr">
        <is>
          <t>III - Cheques de viajero</t>
        </is>
      </c>
      <c r="C82" s="345" t="n">
        <v>2</v>
      </c>
      <c r="D82" s="208" t="inlineStr">
        <is>
          <t>Liquidez / convertibilidad</t>
        </is>
      </c>
      <c r="E82" s="208" t="inlineStr">
        <is>
          <t>Instrumentos fácilmente canjeables por efectivo en múltiples países.</t>
        </is>
      </c>
      <c r="F82" s="208" t="inlineStr">
        <is>
          <t>Canje parcial con cierta trazabilidad.</t>
        </is>
      </c>
      <c r="G82" s="208" t="inlineStr">
        <is>
          <t>Cheques canjeados a cuenta bancaria del cliente identificado.</t>
        </is>
      </c>
    </row>
    <row r="83" ht="18.75" customHeight="1" s="173">
      <c r="A83" s="208">
        <f>B83&amp;"-"&amp;C83</f>
        <v/>
      </c>
      <c r="B83" s="344" t="inlineStr">
        <is>
          <t>III - Cheques de viajero</t>
        </is>
      </c>
      <c r="C83" s="345" t="n">
        <v>3</v>
      </c>
      <c r="D83" s="208" t="inlineStr">
        <is>
          <t>Anonimato / identificación del beneficiario</t>
        </is>
      </c>
      <c r="E83" s="208" t="inlineStr">
        <is>
          <t>Instrumentos al portador que permiten operar sin identificar al beneficiario final.</t>
        </is>
      </c>
      <c r="F83" s="208" t="inlineStr">
        <is>
          <t>Cliente identificado pero con endoso a terceros ocasionales.</t>
        </is>
      </c>
      <c r="G83" s="208" t="inlineStr">
        <is>
          <t>Beneficiario identificado y coincidente con el adquirente.</t>
        </is>
      </c>
    </row>
    <row r="84" ht="18.75" customHeight="1" s="173">
      <c r="A84" s="208">
        <f>B84&amp;"-"&amp;C84</f>
        <v/>
      </c>
      <c r="B84" s="344" t="inlineStr">
        <is>
          <t>III - Cheques de viajero</t>
        </is>
      </c>
      <c r="C84" s="345" t="n">
        <v>4</v>
      </c>
      <c r="D84" s="208" t="inlineStr">
        <is>
          <t>Transferencia u ocultamiento de valor</t>
        </is>
      </c>
      <c r="E84" s="208" t="inlineStr">
        <is>
          <t>Uso de cheques para mover valor de forma transfronteriza sin trazabilidad.</t>
        </is>
      </c>
      <c r="F84" s="208" t="inlineStr">
        <is>
          <t>Movimiento internacional con trazabilidad parcial.</t>
        </is>
      </c>
      <c r="G84" s="208" t="inlineStr">
        <is>
          <t>Uso doméstico trazable con canje a cuenta propia.</t>
        </is>
      </c>
    </row>
    <row r="85" ht="18.75" customHeight="1" s="173">
      <c r="A85" s="208">
        <f>B85&amp;"-"&amp;C85</f>
        <v/>
      </c>
      <c r="B85" s="344" t="inlineStr">
        <is>
          <t>III - Cheques de viajero</t>
        </is>
      </c>
      <c r="C85" s="345" t="n">
        <v>5</v>
      </c>
      <c r="D85" s="208" t="inlineStr">
        <is>
          <t>Exposición del acto u operación al financiamiento al terrorismo</t>
        </is>
      </c>
      <c r="E85" s="208" t="inlineStr">
        <is>
          <t>Emisión de documentos que se cobran en jurisdicciones en conflicto o a favor de personas señaladas en listas de sanciones.</t>
        </is>
      </c>
      <c r="F85" s="208" t="inlineStr">
        <is>
          <t>Cobro en el extranjero por terceros con parentesco o relación declarada, sin coincidencias en listas.</t>
        </is>
      </c>
      <c r="G85" s="208" t="inlineStr">
        <is>
          <t>Emisión y cobro nominativos, dentro del país o en destinos turísticos sin señalamientos.</t>
        </is>
      </c>
    </row>
    <row r="86" ht="18.75" customHeight="1" s="173">
      <c r="A86" s="208">
        <f>B86&amp;"-"&amp;C86</f>
        <v/>
      </c>
      <c r="B86" s="344" t="inlineStr">
        <is>
          <t>III - Cheques de viajero</t>
        </is>
      </c>
      <c r="C86" s="345" t="n">
        <v>6</v>
      </c>
      <c r="D86" s="208" t="inlineStr">
        <is>
          <t>Tipo de persona y estructura</t>
        </is>
      </c>
      <c r="E86" s="208" t="inlineStr">
        <is>
          <t>Adquirente persona moral extranjera, fideicomiso o estructura opaca.</t>
        </is>
      </c>
      <c r="F86" s="208" t="inlineStr">
        <is>
          <t>Persona moral nacional con estructura poco transparente.</t>
        </is>
      </c>
      <c r="G86" s="208" t="inlineStr">
        <is>
          <t>Persona física identificada con propósito de viaje congruente.</t>
        </is>
      </c>
    </row>
    <row r="87" ht="18.75" customHeight="1" s="173">
      <c r="A87" s="208">
        <f>B87&amp;"-"&amp;C87</f>
        <v/>
      </c>
      <c r="B87" s="344" t="inlineStr">
        <is>
          <t>III - Cheques de viajero</t>
        </is>
      </c>
      <c r="C87" s="345" t="n">
        <v>7</v>
      </c>
      <c r="D87" s="208" t="inlineStr">
        <is>
          <t>Edad / fecha de constitución</t>
        </is>
      </c>
      <c r="E87" s="208" t="inlineStr">
        <is>
          <t>Adquirente muy joven o empresa de reciente creación con compras elevadas.</t>
        </is>
      </c>
      <c r="F87" s="208" t="inlineStr">
        <is>
          <t>Perfil moderadamente atípico respecto al monto adquirido.</t>
        </is>
      </c>
      <c r="G87" s="208" t="inlineStr">
        <is>
          <t>Perfil y edad congruentes con el uso turístico.</t>
        </is>
      </c>
    </row>
    <row r="88" ht="18.75" customHeight="1" s="173">
      <c r="A88" s="208">
        <f>B88&amp;"-"&amp;C88</f>
        <v/>
      </c>
      <c r="B88" s="344" t="inlineStr">
        <is>
          <t>III - Cheques de viajero</t>
        </is>
      </c>
      <c r="C88" s="345" t="n">
        <v>8</v>
      </c>
      <c r="D88" s="208" t="inlineStr">
        <is>
          <t>Actividad económica o giro (y fuente de ingresos)</t>
        </is>
      </c>
      <c r="E88" s="208" t="inlineStr">
        <is>
          <t>Giro informal, intensivo en efectivo o vinculado a otra actividad vulnerable.</t>
        </is>
      </c>
      <c r="F88" s="208" t="inlineStr">
        <is>
          <t>Actividad formal con componente de efectivo relevante.</t>
        </is>
      </c>
      <c r="G88" s="208" t="inlineStr">
        <is>
          <t>Actividad formal y comprobable congruente con el viaje.</t>
        </is>
      </c>
    </row>
    <row r="89" ht="18.75" customHeight="1" s="173">
      <c r="A89" s="208">
        <f>B89&amp;"-"&amp;C89</f>
        <v/>
      </c>
      <c r="B89" s="344" t="inlineStr">
        <is>
          <t>III - Cheques de viajero</t>
        </is>
      </c>
      <c r="C89" s="345" t="n">
        <v>9</v>
      </c>
      <c r="D89" s="208" t="inlineStr">
        <is>
          <t>Nacionalidad del cliente</t>
        </is>
      </c>
      <c r="E89" s="208" t="inlineStr">
        <is>
          <t>Cliente de país en listas GAFI, sancionado o con régimen fiscal preferente.</t>
        </is>
      </c>
      <c r="F89" s="208" t="inlineStr">
        <is>
          <t>Cliente extranjero de país sin deficiencias GAFI pero con controles limitados.</t>
        </is>
      </c>
      <c r="G89" s="208" t="inlineStr">
        <is>
          <t>Cliente mexicano o de país cooperante, plenamente identificado.</t>
        </is>
      </c>
    </row>
    <row r="90" ht="18.75" customHeight="1" s="173">
      <c r="A90" s="208">
        <f>B90&amp;"-"&amp;C90</f>
        <v/>
      </c>
      <c r="B90" s="344" t="inlineStr">
        <is>
          <t>III - Cheques de viajero</t>
        </is>
      </c>
      <c r="C90" s="345" t="n">
        <v>10</v>
      </c>
      <c r="D90" s="208" t="inlineStr">
        <is>
          <t>País (y en su caso, estado) de residencia del cliente</t>
        </is>
      </c>
      <c r="E90" s="208" t="inlineStr">
        <is>
          <t>Residencia en jurisdicción de alto riesgo o domicilio no verificable.</t>
        </is>
      </c>
      <c r="F90" s="208" t="inlineStr">
        <is>
          <t>Residencia extranjera verificable o en entidad de riesgo moderado.</t>
        </is>
      </c>
      <c r="G90" s="208" t="inlineStr">
        <is>
          <t>Residencia nacional comprobable con documentación vigente.</t>
        </is>
      </c>
    </row>
    <row r="91" ht="18.75" customHeight="1" s="173">
      <c r="A91" s="208">
        <f>B91&amp;"-"&amp;C91</f>
        <v/>
      </c>
      <c r="B91" s="344" t="inlineStr">
        <is>
          <t>III - Cheques de viajero</t>
        </is>
      </c>
      <c r="C91" s="345" t="n">
        <v>11</v>
      </c>
      <c r="D91" s="208" t="inlineStr">
        <is>
          <t>Condición PEP</t>
        </is>
      </c>
      <c r="E91" s="208" t="inlineStr">
        <is>
          <t>PEP nacional o extranjera, o allegado/familiar de un PEP.</t>
        </is>
      </c>
      <c r="F91" s="208" t="inlineStr">
        <is>
          <t>Vínculos indirectos con un PEP o ex-PEP fuera del periodo sensible.</t>
        </is>
      </c>
      <c r="G91" s="208" t="inlineStr">
        <is>
          <t>Sin condición PEP ni vínculos con personas políticamente expuestas.</t>
        </is>
      </c>
    </row>
    <row r="92" ht="18.75" customHeight="1" s="173">
      <c r="A92" s="208">
        <f>B92&amp;"-"&amp;C92</f>
        <v/>
      </c>
      <c r="B92" s="344" t="inlineStr">
        <is>
          <t>III - Cheques de viajero</t>
        </is>
      </c>
      <c r="C92" s="345" t="n">
        <v>12</v>
      </c>
      <c r="D92" s="208" t="inlineStr">
        <is>
          <t>Coincidencia en listas de personas bloqueadas o de sanciones</t>
        </is>
      </c>
      <c r="E92" s="208" t="inlineStr">
        <is>
          <t>El adquirente, su beneficiario controlador, apoderado o contraparte aparece en la Lista de Personas Bloqueadas, en listas de sanciones o en listas de organizaciones terroristas, o presenta una coincidencia fuerte que no ha sido descartada.</t>
        </is>
      </c>
      <c r="F92" s="208" t="inlineStr">
        <is>
          <t>Se detecta coincidencia parcial u homonimia respecto del adquirente o de alguna persona relacionada, y el descarte se encuentra en proceso con constancia documental.</t>
        </is>
      </c>
      <c r="G92" s="208" t="inlineStr">
        <is>
          <t>Búsqueda realizada y documentada sobre el adquirente y sus personas relacionadas, sin coincidencias.</t>
        </is>
      </c>
    </row>
    <row r="93" ht="18.75" customHeight="1" s="173">
      <c r="A93" s="208">
        <f>B93&amp;"-"&amp;C93</f>
        <v/>
      </c>
      <c r="B93" s="344" t="inlineStr">
        <is>
          <t>III - Cheques de viajero</t>
        </is>
      </c>
      <c r="C93" s="345" t="n">
        <v>13</v>
      </c>
      <c r="D93" s="208" t="inlineStr">
        <is>
          <t>Identificación y complejidad del Beneficiario Controlador</t>
        </is>
      </c>
      <c r="E93" s="208" t="inlineStr">
        <is>
          <t>No se logra identificar al beneficiario controlador del adquirente, o la estructura interpone dos o más niveles societarios, fiduciarios o vehículos constituidos en el extranjero para llegar al 25 por ciento.</t>
        </is>
      </c>
      <c r="F93" s="208" t="inlineStr">
        <is>
          <t>Beneficiario controlador identificado, pero a través de una estructura de más de un nivel o con participación indirecta que exigió reconstruir la cadena de control con documentos.</t>
        </is>
      </c>
      <c r="G93" s="208" t="inlineStr">
        <is>
          <t>Beneficiario controlador identificado de forma directa y documentada: persona física que posee al menos el 25 por ciento o que ejerce el control por otra vía acreditada.</t>
        </is>
      </c>
    </row>
    <row r="94" ht="18.75" customHeight="1" s="173">
      <c r="A94" s="208">
        <f>B94&amp;"-"&amp;C94</f>
        <v/>
      </c>
      <c r="B94" s="344" t="inlineStr">
        <is>
          <t>III - Cheques de viajero</t>
        </is>
      </c>
      <c r="C94" s="345" t="n">
        <v>14</v>
      </c>
      <c r="D94" s="208" t="inlineStr">
        <is>
          <t>País / jurisdicción donde se realiza la operación</t>
        </is>
      </c>
      <c r="E94" s="208" t="inlineStr">
        <is>
          <t>Operación con o desde jurisdicción de alto riesgo o no cooperante.</t>
        </is>
      </c>
      <c r="F94" s="208" t="inlineStr">
        <is>
          <t>Operación con jurisdicción extranjera de riesgo moderado y trazabilidad parcial.</t>
        </is>
      </c>
      <c r="G94" s="208" t="inlineStr">
        <is>
          <t>Operación íntegramente nacional con contraparte identificada.</t>
        </is>
      </c>
    </row>
    <row r="95" ht="18.75" customHeight="1" s="173">
      <c r="A95" s="208">
        <f>B95&amp;"-"&amp;C95</f>
        <v/>
      </c>
      <c r="B95" s="344" t="inlineStr">
        <is>
          <t>III - Cheques de viajero</t>
        </is>
      </c>
      <c r="C95" s="345" t="n">
        <v>15</v>
      </c>
      <c r="D95" s="208" t="inlineStr">
        <is>
          <t>Área geográfica nacional de la operación</t>
        </is>
      </c>
      <c r="E95" s="208" t="inlineStr">
        <is>
          <t>Operación en zona de alta incidencia delictiva, marginación o franja fronteriza.</t>
        </is>
      </c>
      <c r="F95" s="208" t="inlineStr">
        <is>
          <t>Operación en zona urbana con incidencia delictiva moderada.</t>
        </is>
      </c>
      <c r="G95" s="208" t="inlineStr">
        <is>
          <t>Operación en zona de bajo riesgo y presencia institucional consolidada.</t>
        </is>
      </c>
    </row>
    <row r="96" ht="18.75" customHeight="1" s="173">
      <c r="A96" s="208">
        <f>B96&amp;"-"&amp;C96</f>
        <v/>
      </c>
      <c r="B96" s="344" t="inlineStr">
        <is>
          <t>III - Cheques de viajero</t>
        </is>
      </c>
      <c r="C96" s="345" t="n">
        <v>16</v>
      </c>
      <c r="D96" s="208" t="inlineStr">
        <is>
          <t>Vínculo con jurisdicciones sancionadas, en conflicto o de acción requerida por el GAFI</t>
        </is>
      </c>
      <c r="E96" s="208" t="inlineStr">
        <is>
          <t>Existe exposición a jurisdicciones sancionadas, en conflicto armado o de acción requerida del GAFI, por la vía de cobro del documento en el extranjero.</t>
        </is>
      </c>
      <c r="F96" s="208" t="inlineStr">
        <is>
          <t>Vínculo con jurisdicciones bajo monitoreo intensificado del GAFI o con deficiencias señaladas en la ENR, sin estar sancionadas ni en conflicto.</t>
        </is>
      </c>
      <c r="G96" s="208" t="inlineStr">
        <is>
          <t>Sin vínculo con jurisdicciones sancionadas, en conflicto o listadas por el GAFI; la operación y sus partes se ubican en plazas sin señalamientos.</t>
        </is>
      </c>
    </row>
    <row r="97" ht="18.75" customHeight="1" s="173">
      <c r="A97" s="208">
        <f>B97&amp;"-"&amp;C97</f>
        <v/>
      </c>
      <c r="B97" s="344" t="inlineStr">
        <is>
          <t>III - Cheques de viajero</t>
        </is>
      </c>
      <c r="C97" s="345" t="n">
        <v>17</v>
      </c>
      <c r="D97" s="208" t="inlineStr">
        <is>
          <t>Congruencia entre el domicilio del Cliente y el lugar de la operación</t>
        </is>
      </c>
      <c r="E97" s="208" t="inlineStr">
        <is>
          <t>El domicilio del adquirente no guarda relación económica ni logística con el lugar donde se realiza la emisión o el pago del cheque de viajero, y no existe explicación documentada del desplazamiento.</t>
        </is>
      </c>
      <c r="F97" s="208" t="inlineStr">
        <is>
          <t>Existe distancia relevante entre el domicilio del adquirente y el lugar de la operación, con explicación plausible pero no soportada en el expediente.</t>
        </is>
      </c>
      <c r="G97" s="208" t="inlineStr">
        <is>
          <t>El domicilio del adquirente corresponde a la plaza donde se realiza la emisión o el pago del cheque de viajero, o el desplazamiento está justificado y documentado.</t>
        </is>
      </c>
    </row>
    <row r="98" ht="18.75" customHeight="1" s="173">
      <c r="A98" s="208">
        <f>B98&amp;"-"&amp;C98</f>
        <v/>
      </c>
      <c r="B98" s="344" t="inlineStr">
        <is>
          <t>III - Cheques de viajero</t>
        </is>
      </c>
      <c r="C98" s="345" t="n">
        <v>18</v>
      </c>
      <c r="D98" s="208" t="inlineStr">
        <is>
          <t>Instrumento monetario</t>
        </is>
      </c>
      <c r="E98" s="208" t="inlineStr">
        <is>
          <t>Adquisición y canje en efectivo o con instrumentos al portador.</t>
        </is>
      </c>
      <c r="F98" s="208" t="inlineStr">
        <is>
          <t>Mezcla de efectivo y transferencia en la adquisición.</t>
        </is>
      </c>
      <c r="G98" s="208" t="inlineStr">
        <is>
          <t>Adquisición mediante transferencia desde cuenta bancaria.</t>
        </is>
      </c>
    </row>
    <row r="99" ht="18.75" customHeight="1" s="173">
      <c r="A99" s="208">
        <f>B99&amp;"-"&amp;C99</f>
        <v/>
      </c>
      <c r="B99" s="344" t="inlineStr">
        <is>
          <t>III - Cheques de viajero</t>
        </is>
      </c>
      <c r="C99" s="345" t="n">
        <v>19</v>
      </c>
      <c r="D99" s="208" t="inlineStr">
        <is>
          <t>Tipo de moneda</t>
        </is>
      </c>
      <c r="E99" s="208" t="inlineStr">
        <is>
          <t>Operación en moneda extranjera distinta al USD o en criptomonedas.</t>
        </is>
      </c>
      <c r="F99" s="208" t="inlineStr">
        <is>
          <t>Operación en dólares estadounidenses con soporte documental.</t>
        </is>
      </c>
      <c r="G99" s="208" t="inlineStr">
        <is>
          <t>Operación en pesos mexicanos plenamente trazable.</t>
        </is>
      </c>
    </row>
    <row r="100" ht="18.75" customHeight="1" s="173">
      <c r="A100" s="208">
        <f>B100&amp;"-"&amp;C100</f>
        <v/>
      </c>
      <c r="B100" s="344" t="inlineStr">
        <is>
          <t>III - Cheques de viajero</t>
        </is>
      </c>
      <c r="C100" s="345" t="n">
        <v>20</v>
      </c>
      <c r="D100" s="208" t="inlineStr">
        <is>
          <t>Monto frente a umbrales LFPIORPI</t>
        </is>
      </c>
      <c r="E100" s="208" t="inlineStr">
        <is>
          <t>Adquisición o acumulado supera 645 UMA (umbral de aviso) del periodo.</t>
        </is>
      </c>
      <c r="F100" s="208" t="inlineStr">
        <is>
          <t>Operación cercana al umbral de 645 UMA sin superarlo.</t>
        </is>
      </c>
      <c r="G100" s="208" t="inlineStr">
        <is>
          <t>Montos muy por debajo del umbral de 645 UMA.</t>
        </is>
      </c>
    </row>
    <row r="101" ht="18.75" customHeight="1" s="173">
      <c r="A101" s="208">
        <f>B101&amp;"-"&amp;C101</f>
        <v/>
      </c>
      <c r="B101" s="344" t="inlineStr">
        <is>
          <t>III - Cheques de viajero</t>
        </is>
      </c>
      <c r="C101" s="345" t="n">
        <v>21</v>
      </c>
      <c r="D101" s="208" t="inlineStr">
        <is>
          <t>Frecuencia (fraccionamiento)</t>
        </is>
      </c>
      <c r="E101" s="208" t="inlineStr">
        <is>
          <t>Adquisiciones frecuentes o fraccionadas para eludir el umbral.</t>
        </is>
      </c>
      <c r="F101" s="208" t="inlineStr">
        <is>
          <t>Frecuencia moderada con algún indicio de fraccionamiento.</t>
        </is>
      </c>
      <c r="G101" s="208" t="inlineStr">
        <is>
          <t>Adquisición esporádica sin señales de fraccionamiento.</t>
        </is>
      </c>
    </row>
    <row r="102" ht="18.75" customHeight="1" s="173">
      <c r="A102" s="208">
        <f>B102&amp;"-"&amp;C102</f>
        <v/>
      </c>
      <c r="B102" s="344" t="inlineStr">
        <is>
          <t>III - Cheques de viajero</t>
        </is>
      </c>
      <c r="C102" s="345" t="n">
        <v>22</v>
      </c>
      <c r="D102" s="208" t="inlineStr">
        <is>
          <t>Canal (presencial / no presencial / terceros)</t>
        </is>
      </c>
      <c r="E102" s="208" t="inlineStr">
        <is>
          <t>Contratación no presencial o a través de terceros sin contacto directo.</t>
        </is>
      </c>
      <c r="F102" s="208" t="inlineStr">
        <is>
          <t>Operación mixta, presencial e intermediada, con verificación parcial.</t>
        </is>
      </c>
      <c r="G102" s="208" t="inlineStr">
        <is>
          <t>Operación presencial con identificación directa del cliente.</t>
        </is>
      </c>
    </row>
    <row r="103" ht="18.75" customHeight="1" s="173">
      <c r="A103" s="208">
        <f>B103&amp;"-"&amp;C103</f>
        <v/>
      </c>
      <c r="B103" s="344" t="inlineStr">
        <is>
          <t>III - Cheques de viajero</t>
        </is>
      </c>
      <c r="C103" s="345" t="n">
        <v>23</v>
      </c>
      <c r="D103" s="208" t="inlineStr">
        <is>
          <t>Origen de los recursos</t>
        </is>
      </c>
      <c r="E103" s="208" t="inlineStr">
        <is>
          <t>Fondos de origen no acreditable, en efectivo o informal.</t>
        </is>
      </c>
      <c r="F103" s="208" t="inlineStr">
        <is>
          <t>Origen parcialmente documentado con componente de efectivo.</t>
        </is>
      </c>
      <c r="G103" s="208" t="inlineStr">
        <is>
          <t>Origen acreditado desde cuenta bancaria propia.</t>
        </is>
      </c>
    </row>
    <row r="104" ht="18.75" customHeight="1" s="173">
      <c r="A104" s="208">
        <f>B104&amp;"-"&amp;C104</f>
        <v/>
      </c>
      <c r="B104" s="344" t="inlineStr">
        <is>
          <t>III - Cheques de viajero</t>
        </is>
      </c>
      <c r="C104" s="345" t="n">
        <v>24</v>
      </c>
      <c r="D104" s="208" t="inlineStr">
        <is>
          <t>Destino de los recursos</t>
        </is>
      </c>
      <c r="E104" s="208" t="inlineStr">
        <is>
          <t>Cheques dirigidos a terceros, al exterior o a canje sin justificación.</t>
        </is>
      </c>
      <c r="F104" s="208" t="inlineStr">
        <is>
          <t>Destino a cuentas propias con justificación parcial.</t>
        </is>
      </c>
      <c r="G104" s="208" t="inlineStr">
        <is>
          <t>Canje a cuenta bancaria del propio adquirente identificado.</t>
        </is>
      </c>
    </row>
    <row r="105" ht="18.75" customHeight="1" s="173">
      <c r="A105" s="208">
        <f>B105&amp;"-"&amp;C105</f>
        <v/>
      </c>
      <c r="B105" s="344" t="inlineStr">
        <is>
          <t>III - Cheques de viajero</t>
        </is>
      </c>
      <c r="C105" s="345" t="n">
        <v>25</v>
      </c>
      <c r="D105" s="208" t="inlineStr">
        <is>
          <t>Canales e instrumentos idóneos para el financiamiento al terrorismo</t>
        </is>
      </c>
      <c r="E105" s="208" t="inlineStr">
        <is>
          <t>La operación se realiza mediante emisión al portador y cobro por terceros en el extranjero, es decir, medios que permiten mover valor en montos pequeños sin identificar al destinatario final.</t>
        </is>
      </c>
      <c r="F105" s="208" t="inlineStr">
        <is>
          <t>Canal mixto o con verificación parcial: hay registro de la operación pero la trazabilidad del destinatario final es incompleta.</t>
        </is>
      </c>
      <c r="G105" s="208" t="inlineStr">
        <is>
          <t>Emisión nominativa con identificación y cobro por el propio adquirente, con trazabilidad completa del origen y del destinatario.</t>
        </is>
      </c>
    </row>
    <row r="106" ht="18.75" customHeight="1" s="173">
      <c r="A106" s="208">
        <f>B106&amp;"-"&amp;C106</f>
        <v/>
      </c>
      <c r="B106" s="344" t="inlineStr">
        <is>
          <t>IV - Préstamos o créditos</t>
        </is>
      </c>
      <c r="C106" s="345" t="n">
        <v>1</v>
      </c>
      <c r="D106" s="208" t="inlineStr">
        <is>
          <t>Valor del producto o servicio</t>
        </is>
      </c>
      <c r="E106" s="208" t="inlineStr">
        <is>
          <t>Crédito de monto elevado sin garantía real, desproporcionado al perfil del deudor.</t>
        </is>
      </c>
      <c r="F106" s="208" t="inlineStr">
        <is>
          <t>Crédito de monto moderado con garantía parcial.</t>
        </is>
      </c>
      <c r="G106" s="208" t="inlineStr">
        <is>
          <t>Crédito de monto acorde al perfil, con garantía real.</t>
        </is>
      </c>
    </row>
    <row r="107" ht="18.75" customHeight="1" s="173">
      <c r="A107" s="208">
        <f>B107&amp;"-"&amp;C107</f>
        <v/>
      </c>
      <c r="B107" s="344" t="inlineStr">
        <is>
          <t>IV - Préstamos o créditos</t>
        </is>
      </c>
      <c r="C107" s="345" t="n">
        <v>2</v>
      </c>
      <c r="D107" s="208" t="inlineStr">
        <is>
          <t>Liquidez / convertibilidad</t>
        </is>
      </c>
      <c r="E107" s="208" t="inlineStr">
        <is>
          <t>Crédito líquido susceptible de liquidación anticipada en efectivo.</t>
        </is>
      </c>
      <c r="F107" s="208" t="inlineStr">
        <is>
          <t>Crédito con amortización mixta y liquidación parcial anticipada.</t>
        </is>
      </c>
      <c r="G107" s="208" t="inlineStr">
        <is>
          <t>Crédito con pagos periódicos trazables sin liquidación anticipada atípica.</t>
        </is>
      </c>
    </row>
    <row r="108" ht="18.75" customHeight="1" s="173">
      <c r="A108" s="208">
        <f>B108&amp;"-"&amp;C108</f>
        <v/>
      </c>
      <c r="B108" s="344" t="inlineStr">
        <is>
          <t>IV - Préstamos o créditos</t>
        </is>
      </c>
      <c r="C108" s="345" t="n">
        <v>3</v>
      </c>
      <c r="D108" s="208" t="inlineStr">
        <is>
          <t>Anonimato / identificación del beneficiario</t>
        </is>
      </c>
      <c r="E108" s="208" t="inlineStr">
        <is>
          <t>Deudor o fuente de pago no identificados plenamente; pagos por terceros anónimos.</t>
        </is>
      </c>
      <c r="F108" s="208" t="inlineStr">
        <is>
          <t>Deudor identificado pero con pagos ocasionales de terceros.</t>
        </is>
      </c>
      <c r="G108" s="208" t="inlineStr">
        <is>
          <t>Deudor y fuente de pago plenamente identificados y coincidentes.</t>
        </is>
      </c>
    </row>
    <row r="109" ht="18.75" customHeight="1" s="173">
      <c r="A109" s="208">
        <f>B109&amp;"-"&amp;C109</f>
        <v/>
      </c>
      <c r="B109" s="344" t="inlineStr">
        <is>
          <t>IV - Préstamos o créditos</t>
        </is>
      </c>
      <c r="C109" s="345" t="n">
        <v>4</v>
      </c>
      <c r="D109" s="208" t="inlineStr">
        <is>
          <t>Transferencia u ocultamiento de valor</t>
        </is>
      </c>
      <c r="E109" s="208" t="inlineStr">
        <is>
          <t>Crédito usado para inyectar recursos ilícitos y justificar flujos financieros.</t>
        </is>
      </c>
      <c r="F109" s="208" t="inlineStr">
        <is>
          <t>Flujos de pago con trazabilidad parcial.</t>
        </is>
      </c>
      <c r="G109" s="208" t="inlineStr">
        <is>
          <t>Otorgamiento y pago trazables vía sistema financiero.</t>
        </is>
      </c>
    </row>
    <row r="110" ht="18.75" customHeight="1" s="173">
      <c r="A110" s="208">
        <f>B110&amp;"-"&amp;C110</f>
        <v/>
      </c>
      <c r="B110" s="344" t="inlineStr">
        <is>
          <t>IV - Préstamos o créditos</t>
        </is>
      </c>
      <c r="C110" s="345" t="n">
        <v>5</v>
      </c>
      <c r="D110" s="208" t="inlineStr">
        <is>
          <t>Exposición del acto u operación al financiamiento al terrorismo</t>
        </is>
      </c>
      <c r="E110" s="208" t="inlineStr">
        <is>
          <t>Créditos otorgados a personas o asociaciones vinculadas con organizaciones señaladas en listas, o pagados anticipadamente con recursos de origen no acreditable provenientes del extranjero.</t>
        </is>
      </c>
      <c r="F110" s="208" t="inlineStr">
        <is>
          <t>Créditos con pagos hechos por terceros no relacionados o con liquidación anticipada sin explicación, sin coincidencias en listas.</t>
        </is>
      </c>
      <c r="G110" s="208" t="inlineStr">
        <is>
          <t>Crédito con destino declarado y comprobable, y pagos hechos por el propio acreditado.</t>
        </is>
      </c>
    </row>
    <row r="111" ht="18.75" customHeight="1" s="173">
      <c r="A111" s="208">
        <f>B111&amp;"-"&amp;C111</f>
        <v/>
      </c>
      <c r="B111" s="344" t="inlineStr">
        <is>
          <t>IV - Préstamos o créditos</t>
        </is>
      </c>
      <c r="C111" s="345" t="n">
        <v>6</v>
      </c>
      <c r="D111" s="208" t="inlineStr">
        <is>
          <t>Tipo de persona y estructura</t>
        </is>
      </c>
      <c r="E111" s="208" t="inlineStr">
        <is>
          <t>Deudor persona moral extranjera, fideicomiso o estructura opaca.</t>
        </is>
      </c>
      <c r="F111" s="208" t="inlineStr">
        <is>
          <t>Persona moral nacional con estructura de socios poco transparente.</t>
        </is>
      </c>
      <c r="G111" s="208" t="inlineStr">
        <is>
          <t>Persona física o moral nacional con estructura clara y beneficiario conocido.</t>
        </is>
      </c>
    </row>
    <row r="112" ht="18.75" customHeight="1" s="173">
      <c r="A112" s="208">
        <f>B112&amp;"-"&amp;C112</f>
        <v/>
      </c>
      <c r="B112" s="344" t="inlineStr">
        <is>
          <t>IV - Préstamos o créditos</t>
        </is>
      </c>
      <c r="C112" s="345" t="n">
        <v>7</v>
      </c>
      <c r="D112" s="208" t="inlineStr">
        <is>
          <t>Edad / fecha de constitución</t>
        </is>
      </c>
      <c r="E112" s="208" t="inlineStr">
        <is>
          <t>Deudor muy joven o empresa de reciente creación con crédito elevado.</t>
        </is>
      </c>
      <c r="F112" s="208" t="inlineStr">
        <is>
          <t>Empresa de antigüedad limitada o perfil atípico moderado.</t>
        </is>
      </c>
      <c r="G112" s="208" t="inlineStr">
        <is>
          <t>Deudor consolidado o empresa con antigüedad e historial claros.</t>
        </is>
      </c>
    </row>
    <row r="113" ht="18.75" customHeight="1" s="173">
      <c r="A113" s="208">
        <f>B113&amp;"-"&amp;C113</f>
        <v/>
      </c>
      <c r="B113" s="344" t="inlineStr">
        <is>
          <t>IV - Préstamos o créditos</t>
        </is>
      </c>
      <c r="C113" s="345" t="n">
        <v>8</v>
      </c>
      <c r="D113" s="208" t="inlineStr">
        <is>
          <t>Actividad económica o giro (y fuente de ingresos)</t>
        </is>
      </c>
      <c r="E113" s="208" t="inlineStr">
        <is>
          <t>Giro informal, intensivo en efectivo o vinculado a otra actividad vulnerable.</t>
        </is>
      </c>
      <c r="F113" s="208" t="inlineStr">
        <is>
          <t>Actividad formal con componente de efectivo relevante.</t>
        </is>
      </c>
      <c r="G113" s="208" t="inlineStr">
        <is>
          <t>Actividad formal y comprobable congruente con la capacidad de pago.</t>
        </is>
      </c>
    </row>
    <row r="114" ht="18.75" customHeight="1" s="173">
      <c r="A114" s="208">
        <f>B114&amp;"-"&amp;C114</f>
        <v/>
      </c>
      <c r="B114" s="344" t="inlineStr">
        <is>
          <t>IV - Préstamos o créditos</t>
        </is>
      </c>
      <c r="C114" s="345" t="n">
        <v>9</v>
      </c>
      <c r="D114" s="208" t="inlineStr">
        <is>
          <t>Nacionalidad del cliente</t>
        </is>
      </c>
      <c r="E114" s="208" t="inlineStr">
        <is>
          <t>Cliente de país en listas GAFI, sancionado o con régimen fiscal preferente.</t>
        </is>
      </c>
      <c r="F114" s="208" t="inlineStr">
        <is>
          <t>Cliente extranjero de país sin deficiencias GAFI pero con controles limitados.</t>
        </is>
      </c>
      <c r="G114" s="208" t="inlineStr">
        <is>
          <t>Cliente mexicano o de país cooperante, plenamente identificado.</t>
        </is>
      </c>
    </row>
    <row r="115" ht="18.75" customHeight="1" s="173">
      <c r="A115" s="208">
        <f>B115&amp;"-"&amp;C115</f>
        <v/>
      </c>
      <c r="B115" s="344" t="inlineStr">
        <is>
          <t>IV - Préstamos o créditos</t>
        </is>
      </c>
      <c r="C115" s="345" t="n">
        <v>10</v>
      </c>
      <c r="D115" s="208" t="inlineStr">
        <is>
          <t>País (y en su caso, estado) de residencia del cliente</t>
        </is>
      </c>
      <c r="E115" s="208" t="inlineStr">
        <is>
          <t>Residencia en jurisdicción de alto riesgo o domicilio no verificable.</t>
        </is>
      </c>
      <c r="F115" s="208" t="inlineStr">
        <is>
          <t>Residencia extranjera verificable o en entidad de riesgo moderado.</t>
        </is>
      </c>
      <c r="G115" s="208" t="inlineStr">
        <is>
          <t>Residencia nacional comprobable con documentación vigente.</t>
        </is>
      </c>
    </row>
    <row r="116" ht="18.75" customHeight="1" s="173">
      <c r="A116" s="208">
        <f>B116&amp;"-"&amp;C116</f>
        <v/>
      </c>
      <c r="B116" s="344" t="inlineStr">
        <is>
          <t>IV - Préstamos o créditos</t>
        </is>
      </c>
      <c r="C116" s="345" t="n">
        <v>11</v>
      </c>
      <c r="D116" s="208" t="inlineStr">
        <is>
          <t>Condición PEP</t>
        </is>
      </c>
      <c r="E116" s="208" t="inlineStr">
        <is>
          <t>PEP nacional o extranjera, o allegado/familiar de un PEP.</t>
        </is>
      </c>
      <c r="F116" s="208" t="inlineStr">
        <is>
          <t>Vínculos indirectos con un PEP o ex-PEP fuera del periodo sensible.</t>
        </is>
      </c>
      <c r="G116" s="208" t="inlineStr">
        <is>
          <t>Sin condición PEP ni vínculos con personas políticamente expuestas.</t>
        </is>
      </c>
    </row>
    <row r="117" ht="18.75" customHeight="1" s="173">
      <c r="A117" s="208">
        <f>B117&amp;"-"&amp;C117</f>
        <v/>
      </c>
      <c r="B117" s="344" t="inlineStr">
        <is>
          <t>IV - Préstamos o créditos</t>
        </is>
      </c>
      <c r="C117" s="345" t="n">
        <v>12</v>
      </c>
      <c r="D117" s="208" t="inlineStr">
        <is>
          <t>Coincidencia en listas de personas bloqueadas o de sanciones</t>
        </is>
      </c>
      <c r="E117" s="208" t="inlineStr">
        <is>
          <t>El acreditado, su beneficiario controlador, apoderado o contraparte aparece en la Lista de Personas Bloqueadas, en listas de sanciones o en listas de organizaciones terroristas, o presenta una coincidencia fuerte que no ha sido descartada.</t>
        </is>
      </c>
      <c r="F117" s="208" t="inlineStr">
        <is>
          <t>Se detecta coincidencia parcial u homonimia respecto del acreditado o de alguna persona relacionada, y el descarte se encuentra en proceso con constancia documental.</t>
        </is>
      </c>
      <c r="G117" s="208" t="inlineStr">
        <is>
          <t>Búsqueda realizada y documentada sobre el acreditado y sus personas relacionadas, sin coincidencias.</t>
        </is>
      </c>
    </row>
    <row r="118" ht="18.75" customHeight="1" s="173">
      <c r="A118" s="208">
        <f>B118&amp;"-"&amp;C118</f>
        <v/>
      </c>
      <c r="B118" s="344" t="inlineStr">
        <is>
          <t>IV - Préstamos o créditos</t>
        </is>
      </c>
      <c r="C118" s="345" t="n">
        <v>13</v>
      </c>
      <c r="D118" s="208" t="inlineStr">
        <is>
          <t>Identificación y complejidad del Beneficiario Controlador</t>
        </is>
      </c>
      <c r="E118" s="208" t="inlineStr">
        <is>
          <t>No se logra identificar al beneficiario controlador del acreditado, o la estructura interpone dos o más niveles societarios, fiduciarios o vehículos constituidos en el extranjero para llegar al 25 por ciento.</t>
        </is>
      </c>
      <c r="F118" s="208" t="inlineStr">
        <is>
          <t>Beneficiario controlador identificado, pero a través de una estructura de más de un nivel o con participación indirecta que exigió reconstruir la cadena de control con documentos.</t>
        </is>
      </c>
      <c r="G118" s="208" t="inlineStr">
        <is>
          <t>Beneficiario controlador identificado de forma directa y documentada: persona física que posee al menos el 25 por ciento o que ejerce el control por otra vía acreditada.</t>
        </is>
      </c>
    </row>
    <row r="119" ht="18.75" customHeight="1" s="173">
      <c r="A119" s="208">
        <f>B119&amp;"-"&amp;C119</f>
        <v/>
      </c>
      <c r="B119" s="344" t="inlineStr">
        <is>
          <t>IV - Préstamos o créditos</t>
        </is>
      </c>
      <c r="C119" s="345" t="n">
        <v>14</v>
      </c>
      <c r="D119" s="208" t="inlineStr">
        <is>
          <t>País / jurisdicción donde se realiza la operación</t>
        </is>
      </c>
      <c r="E119" s="208" t="inlineStr">
        <is>
          <t>Operación con o desde jurisdicción de alto riesgo o no cooperante.</t>
        </is>
      </c>
      <c r="F119" s="208" t="inlineStr">
        <is>
          <t>Operación con jurisdicción extranjera de riesgo moderado y trazabilidad parcial.</t>
        </is>
      </c>
      <c r="G119" s="208" t="inlineStr">
        <is>
          <t>Operación íntegramente nacional con contraparte identificada.</t>
        </is>
      </c>
    </row>
    <row r="120" ht="18.75" customHeight="1" s="173">
      <c r="A120" s="208">
        <f>B120&amp;"-"&amp;C120</f>
        <v/>
      </c>
      <c r="B120" s="344" t="inlineStr">
        <is>
          <t>IV - Préstamos o créditos</t>
        </is>
      </c>
      <c r="C120" s="345" t="n">
        <v>15</v>
      </c>
      <c r="D120" s="208" t="inlineStr">
        <is>
          <t>Área geográfica nacional de la operación</t>
        </is>
      </c>
      <c r="E120" s="208" t="inlineStr">
        <is>
          <t>Operación en zona de alta incidencia delictiva, marginación o franja fronteriza.</t>
        </is>
      </c>
      <c r="F120" s="208" t="inlineStr">
        <is>
          <t>Operación en zona urbana con incidencia delictiva moderada.</t>
        </is>
      </c>
      <c r="G120" s="208" t="inlineStr">
        <is>
          <t>Operación en zona de bajo riesgo y presencia institucional consolidada.</t>
        </is>
      </c>
    </row>
    <row r="121" ht="18.75" customHeight="1" s="173">
      <c r="A121" s="208">
        <f>B121&amp;"-"&amp;C121</f>
        <v/>
      </c>
      <c r="B121" s="344" t="inlineStr">
        <is>
          <t>IV - Préstamos o créditos</t>
        </is>
      </c>
      <c r="C121" s="345" t="n">
        <v>16</v>
      </c>
      <c r="D121" s="208" t="inlineStr">
        <is>
          <t>Vínculo con jurisdicciones sancionadas, en conflicto o de acción requerida por el GAFI</t>
        </is>
      </c>
      <c r="E121" s="208" t="inlineStr">
        <is>
          <t>Existe exposición a jurisdicciones sancionadas, en conflicto armado o de acción requerida del GAFI, por la vía de recursos que entran o salen del país por la vía del crédito.</t>
        </is>
      </c>
      <c r="F121" s="208" t="inlineStr">
        <is>
          <t>Vínculo con jurisdicciones bajo monitoreo intensificado del GAFI o con deficiencias señaladas en la ENR, sin estar sancionadas ni en conflicto.</t>
        </is>
      </c>
      <c r="G121" s="208" t="inlineStr">
        <is>
          <t>Sin vínculo con jurisdicciones sancionadas, en conflicto o listadas por el GAFI; la operación y sus partes se ubican en plazas sin señalamientos.</t>
        </is>
      </c>
    </row>
    <row r="122" ht="18.75" customHeight="1" s="173">
      <c r="A122" s="208">
        <f>B122&amp;"-"&amp;C122</f>
        <v/>
      </c>
      <c r="B122" s="344" t="inlineStr">
        <is>
          <t>IV - Préstamos o créditos</t>
        </is>
      </c>
      <c r="C122" s="345" t="n">
        <v>17</v>
      </c>
      <c r="D122" s="208" t="inlineStr">
        <is>
          <t>Congruencia entre el domicilio del Cliente y el lugar de la operación</t>
        </is>
      </c>
      <c r="E122" s="208" t="inlineStr">
        <is>
          <t>El domicilio del acreditado no guarda relación económica ni logística con el lugar donde se realiza el otorgamiento o el pago del crédito, y no existe explicación documentada del desplazamiento.</t>
        </is>
      </c>
      <c r="F122" s="208" t="inlineStr">
        <is>
          <t>Existe distancia relevante entre el domicilio del acreditado y el lugar de la operación, con explicación plausible pero no soportada en el expediente.</t>
        </is>
      </c>
      <c r="G122" s="208" t="inlineStr">
        <is>
          <t>El domicilio del acreditado corresponde a la plaza donde se realiza el otorgamiento o el pago del crédito, o el desplazamiento está justificado y documentado.</t>
        </is>
      </c>
    </row>
    <row r="123" ht="18.75" customHeight="1" s="173">
      <c r="A123" s="208">
        <f>B123&amp;"-"&amp;C123</f>
        <v/>
      </c>
      <c r="B123" s="344" t="inlineStr">
        <is>
          <t>IV - Préstamos o créditos</t>
        </is>
      </c>
      <c r="C123" s="345" t="n">
        <v>18</v>
      </c>
      <c r="D123" s="208" t="inlineStr">
        <is>
          <t>Instrumento monetario</t>
        </is>
      </c>
      <c r="E123" s="208" t="inlineStr">
        <is>
          <t>Otorgamiento o pagos en efectivo o con instrumentos al portador o cripto.</t>
        </is>
      </c>
      <c r="F123" s="208" t="inlineStr">
        <is>
          <t>Pagos mixtos de efectivo y transferencia.</t>
        </is>
      </c>
      <c r="G123" s="208" t="inlineStr">
        <is>
          <t>Otorgamiento y pagos por transferencia bancaria trazable.</t>
        </is>
      </c>
    </row>
    <row r="124" ht="18.75" customHeight="1" s="173">
      <c r="A124" s="208">
        <f>B124&amp;"-"&amp;C124</f>
        <v/>
      </c>
      <c r="B124" s="344" t="inlineStr">
        <is>
          <t>IV - Préstamos o créditos</t>
        </is>
      </c>
      <c r="C124" s="345" t="n">
        <v>19</v>
      </c>
      <c r="D124" s="208" t="inlineStr">
        <is>
          <t>Tipo de moneda</t>
        </is>
      </c>
      <c r="E124" s="208" t="inlineStr">
        <is>
          <t>Operación en moneda extranjera distinta al USD o en criptomonedas.</t>
        </is>
      </c>
      <c r="F124" s="208" t="inlineStr">
        <is>
          <t>Operación en dólares estadounidenses con soporte documental.</t>
        </is>
      </c>
      <c r="G124" s="208" t="inlineStr">
        <is>
          <t>Operación en pesos mexicanos plenamente trazable.</t>
        </is>
      </c>
    </row>
    <row r="125" ht="18.75" customHeight="1" s="173">
      <c r="A125" s="208">
        <f>B125&amp;"-"&amp;C125</f>
        <v/>
      </c>
      <c r="B125" s="344" t="inlineStr">
        <is>
          <t>IV - Préstamos o créditos</t>
        </is>
      </c>
      <c r="C125" s="345" t="n">
        <v>20</v>
      </c>
      <c r="D125" s="208" t="inlineStr">
        <is>
          <t>Monto frente a umbrales LFPIORPI</t>
        </is>
      </c>
      <c r="E125" s="208" t="inlineStr">
        <is>
          <t>Crédito o acumulado supera 1,605 UMA (umbral de aviso) del periodo.</t>
        </is>
      </c>
      <c r="F125" s="208" t="inlineStr">
        <is>
          <t>Operación cercana al umbral de 1,605 UMA sin superarlo.</t>
        </is>
      </c>
      <c r="G125" s="208" t="inlineStr">
        <is>
          <t>Montos muy por debajo del umbral de 1,605 UMA.</t>
        </is>
      </c>
    </row>
    <row r="126" ht="18.75" customHeight="1" s="173">
      <c r="A126" s="208">
        <f>B126&amp;"-"&amp;C126</f>
        <v/>
      </c>
      <c r="B126" s="344" t="inlineStr">
        <is>
          <t>IV - Préstamos o créditos</t>
        </is>
      </c>
      <c r="C126" s="345" t="n">
        <v>21</v>
      </c>
      <c r="D126" s="208" t="inlineStr">
        <is>
          <t>Frecuencia (fraccionamiento)</t>
        </is>
      </c>
      <c r="E126" s="208" t="inlineStr">
        <is>
          <t>Créditos o pagos fraccionados y frecuentes para eludir el umbral.</t>
        </is>
      </c>
      <c r="F126" s="208" t="inlineStr">
        <is>
          <t>Frecuencia moderada con algún indicio de fraccionamiento.</t>
        </is>
      </c>
      <c r="G126" s="208" t="inlineStr">
        <is>
          <t>Operación única o pagos regulares sin fraccionamiento.</t>
        </is>
      </c>
    </row>
    <row r="127" ht="18.75" customHeight="1" s="173">
      <c r="A127" s="208">
        <f>B127&amp;"-"&amp;C127</f>
        <v/>
      </c>
      <c r="B127" s="344" t="inlineStr">
        <is>
          <t>IV - Préstamos o créditos</t>
        </is>
      </c>
      <c r="C127" s="345" t="n">
        <v>22</v>
      </c>
      <c r="D127" s="208" t="inlineStr">
        <is>
          <t>Canal (presencial / no presencial / terceros)</t>
        </is>
      </c>
      <c r="E127" s="208" t="inlineStr">
        <is>
          <t>Contratación no presencial o a través de terceros sin contacto directo.</t>
        </is>
      </c>
      <c r="F127" s="208" t="inlineStr">
        <is>
          <t>Operación mixta, presencial e intermediada, con verificación parcial.</t>
        </is>
      </c>
      <c r="G127" s="208" t="inlineStr">
        <is>
          <t>Operación presencial con identificación directa del cliente.</t>
        </is>
      </c>
    </row>
    <row r="128" ht="18.75" customHeight="1" s="173">
      <c r="A128" s="208">
        <f>B128&amp;"-"&amp;C128</f>
        <v/>
      </c>
      <c r="B128" s="344" t="inlineStr">
        <is>
          <t>IV - Préstamos o créditos</t>
        </is>
      </c>
      <c r="C128" s="345" t="n">
        <v>23</v>
      </c>
      <c r="D128" s="208" t="inlineStr">
        <is>
          <t>Origen de los recursos</t>
        </is>
      </c>
      <c r="E128" s="208" t="inlineStr">
        <is>
          <t>Recursos para pago de origen no acreditable, en efectivo o informal.</t>
        </is>
      </c>
      <c r="F128" s="208" t="inlineStr">
        <is>
          <t>Origen de pagos parcialmente documentado.</t>
        </is>
      </c>
      <c r="G128" s="208" t="inlineStr">
        <is>
          <t>Pagos desde cuenta bancaria propia con origen acreditado.</t>
        </is>
      </c>
    </row>
    <row r="129" ht="18.75" customHeight="1" s="173">
      <c r="A129" s="208">
        <f>B129&amp;"-"&amp;C129</f>
        <v/>
      </c>
      <c r="B129" s="344" t="inlineStr">
        <is>
          <t>IV - Préstamos o créditos</t>
        </is>
      </c>
      <c r="C129" s="345" t="n">
        <v>24</v>
      </c>
      <c r="D129" s="208" t="inlineStr">
        <is>
          <t>Destino de los recursos</t>
        </is>
      </c>
      <c r="E129" s="208" t="inlineStr">
        <is>
          <t>Fondos del crédito dirigidos a terceros, al exterior o a fines sin justificación.</t>
        </is>
      </c>
      <c r="F129" s="208" t="inlineStr">
        <is>
          <t>Destino a cuentas propias con justificación parcial.</t>
        </is>
      </c>
      <c r="G129" s="208" t="inlineStr">
        <is>
          <t>Destino del crédito documentado y congruente con el fin declarado.</t>
        </is>
      </c>
    </row>
    <row r="130" ht="18.75" customHeight="1" s="173">
      <c r="A130" s="208">
        <f>B130&amp;"-"&amp;C130</f>
        <v/>
      </c>
      <c r="B130" s="344" t="inlineStr">
        <is>
          <t>IV - Préstamos o créditos</t>
        </is>
      </c>
      <c r="C130" s="345" t="n">
        <v>25</v>
      </c>
      <c r="D130" s="208" t="inlineStr">
        <is>
          <t>Canales e instrumentos idóneos para el financiamiento al terrorismo</t>
        </is>
      </c>
      <c r="E130" s="208" t="inlineStr">
        <is>
          <t>La operación se realiza mediante contratación no presencial, entrega en efectivo y pagos hechos por terceros, es decir, medios que permiten mover valor en montos pequeños sin identificar al destinatario final.</t>
        </is>
      </c>
      <c r="F130" s="208" t="inlineStr">
        <is>
          <t>Canal mixto o con verificación parcial: hay registro de la operación pero la trazabilidad del destinatario final es incompleta.</t>
        </is>
      </c>
      <c r="G130" s="208" t="inlineStr">
        <is>
          <t>Contratación presencial, entrega y pago por transferencia entre cuentas del propio acreditado, con trazabilidad completa del origen y del destinatario.</t>
        </is>
      </c>
    </row>
    <row r="131" ht="18.75" customHeight="1" s="173">
      <c r="A131" s="208">
        <f>B131&amp;"-"&amp;C131</f>
        <v/>
      </c>
      <c r="B131" s="344" t="inlineStr">
        <is>
          <t>V - Construcción/comercialización inmuebles</t>
        </is>
      </c>
      <c r="C131" s="345" t="n">
        <v>1</v>
      </c>
      <c r="D131" s="208" t="inlineStr">
        <is>
          <t>Valor del producto o servicio</t>
        </is>
      </c>
      <c r="E131" s="208" t="inlineStr">
        <is>
          <t>Inmuebles de lujo o alto valor unitario, muy por encima del precio de mercado promedio.</t>
        </is>
      </c>
      <c r="F131" s="208" t="inlineStr">
        <is>
          <t>Inmuebles de valor medio, dentro de rangos de mercado verificables.</t>
        </is>
      </c>
      <c r="G131" s="208" t="inlineStr">
        <is>
          <t>Vivienda de interés social o regulada, bajo valor unitario.</t>
        </is>
      </c>
    </row>
    <row r="132" ht="18.75" customHeight="1" s="173">
      <c r="A132" s="208">
        <f>B132&amp;"-"&amp;C132</f>
        <v/>
      </c>
      <c r="B132" s="344" t="inlineStr">
        <is>
          <t>V - Construcción/comercialización inmuebles</t>
        </is>
      </c>
      <c r="C132" s="345" t="n">
        <v>2</v>
      </c>
      <c r="D132" s="208" t="inlineStr">
        <is>
          <t>Liquidez / convertibilidad</t>
        </is>
      </c>
      <c r="E132" s="208" t="inlineStr">
        <is>
          <t>Preventa fácilmente cedible o revendible antes de escriturar, alta convertibilidad a efectivo.</t>
        </is>
      </c>
      <c r="F132" s="208" t="inlineStr">
        <is>
          <t>Reventa posible pero sujeta a formalización y plazos.</t>
        </is>
      </c>
      <c r="G132" s="208" t="inlineStr">
        <is>
          <t>Vivienda con crédito hipotecario, baja liquidez y difícil reventa inmediata.</t>
        </is>
      </c>
    </row>
    <row r="133" ht="18.75" customHeight="1" s="173">
      <c r="A133" s="208">
        <f>B133&amp;"-"&amp;C133</f>
        <v/>
      </c>
      <c r="B133" s="344" t="inlineStr">
        <is>
          <t>V - Construcción/comercialización inmuebles</t>
        </is>
      </c>
      <c r="C133" s="345" t="n">
        <v>3</v>
      </c>
      <c r="D133" s="208" t="inlineStr">
        <is>
          <t>Anonimato / identificación del beneficiario</t>
        </is>
      </c>
      <c r="E133" s="208" t="inlineStr">
        <is>
          <t>Compra vía tercero o estructura que oculta al beneficiario final del inmueble.</t>
        </is>
      </c>
      <c r="F133" s="208" t="inlineStr">
        <is>
          <t>Comprador identificado pero con beneficiario final parcialmente documentado.</t>
        </is>
      </c>
      <c r="G133" s="208" t="inlineStr">
        <is>
          <t>Comprador y beneficiario final plenamente identificados y verificados.</t>
        </is>
      </c>
    </row>
    <row r="134" ht="18.75" customHeight="1" s="173">
      <c r="A134" s="208">
        <f>B134&amp;"-"&amp;C134</f>
        <v/>
      </c>
      <c r="B134" s="344" t="inlineStr">
        <is>
          <t>V - Construcción/comercialización inmuebles</t>
        </is>
      </c>
      <c r="C134" s="345" t="n">
        <v>4</v>
      </c>
      <c r="D134" s="208" t="inlineStr">
        <is>
          <t>Transferencia u ocultamiento de valor</t>
        </is>
      </c>
      <c r="E134" s="208" t="inlineStr">
        <is>
          <t>Operación permite estratificar o integrar fondos ilícitos mediante sobrevaluación inmobiliaria.</t>
        </is>
      </c>
      <c r="F134" s="208" t="inlineStr">
        <is>
          <t>Riesgo moderado de ocultamiento con pagos mixtos parcialmente trazables.</t>
        </is>
      </c>
      <c r="G134" s="208" t="inlineStr">
        <is>
          <t>Recursos bancarizados y trazables, sin margen para ocultar valor.</t>
        </is>
      </c>
    </row>
    <row r="135" ht="18.75" customHeight="1" s="173">
      <c r="A135" s="208">
        <f>B135&amp;"-"&amp;C135</f>
        <v/>
      </c>
      <c r="B135" s="344" t="inlineStr">
        <is>
          <t>V - Construcción/comercialización inmuebles</t>
        </is>
      </c>
      <c r="C135" s="345" t="n">
        <v>5</v>
      </c>
      <c r="D135" s="208" t="inlineStr">
        <is>
          <t>Exposición del acto u operación al financiamiento al terrorismo</t>
        </is>
      </c>
      <c r="E135" s="208" t="inlineStr">
        <is>
          <t>Adquisición de inmuebles por personas o asociaciones señaladas en listas de sanciones, o destinados a servir de base logística o de resguardo para grupos con esa vinculación.</t>
        </is>
      </c>
      <c r="F135" s="208" t="inlineStr">
        <is>
          <t>Compradores no residentes o con recursos remitidos del extranjero, sin coincidencias en listas pero con estructura poco transparente.</t>
        </is>
      </c>
      <c r="G135" s="208" t="inlineStr">
        <is>
          <t>Comprador identificado, residente, con recursos bancarizados y uso declarado del inmueble congruente.</t>
        </is>
      </c>
    </row>
    <row r="136" ht="18.75" customHeight="1" s="173">
      <c r="A136" s="208">
        <f>B136&amp;"-"&amp;C136</f>
        <v/>
      </c>
      <c r="B136" s="344" t="inlineStr">
        <is>
          <t>V - Construcción/comercialización inmuebles</t>
        </is>
      </c>
      <c r="C136" s="345" t="n">
        <v>6</v>
      </c>
      <c r="D136" s="208" t="inlineStr">
        <is>
          <t>Tipo de persona y estructura</t>
        </is>
      </c>
      <c r="E136" s="208" t="inlineStr">
        <is>
          <t>Persona moral extranjera, fideicomiso o estructura opaca como adquirente.</t>
        </is>
      </c>
      <c r="F136" s="208" t="inlineStr">
        <is>
          <t>Persona moral nacional con estructura de propiedad clara.</t>
        </is>
      </c>
      <c r="G136" s="208" t="inlineStr">
        <is>
          <t>Persona física residente plenamente identificada.</t>
        </is>
      </c>
    </row>
    <row r="137" ht="18.75" customHeight="1" s="173">
      <c r="A137" s="208">
        <f>B137&amp;"-"&amp;C137</f>
        <v/>
      </c>
      <c r="B137" s="344" t="inlineStr">
        <is>
          <t>V - Construcción/comercialización inmuebles</t>
        </is>
      </c>
      <c r="C137" s="345" t="n">
        <v>7</v>
      </c>
      <c r="D137" s="208" t="inlineStr">
        <is>
          <t>Edad / fecha de constitución</t>
        </is>
      </c>
      <c r="E137" s="208" t="inlineStr">
        <is>
          <t>Comprador persona física muy joven o empresa de reciente creación sin historial.</t>
        </is>
      </c>
      <c r="F137" s="208" t="inlineStr">
        <is>
          <t>Empresa con antigüedad moderada o comprador con perfil estándar.</t>
        </is>
      </c>
      <c r="G137" s="208" t="inlineStr">
        <is>
          <t>Persona o empresa con trayectoria y antigüedad acreditable.</t>
        </is>
      </c>
    </row>
    <row r="138" ht="18.75" customHeight="1" s="173">
      <c r="A138" s="208">
        <f>B138&amp;"-"&amp;C138</f>
        <v/>
      </c>
      <c r="B138" s="344" t="inlineStr">
        <is>
          <t>V - Construcción/comercialización inmuebles</t>
        </is>
      </c>
      <c r="C138" s="345" t="n">
        <v>8</v>
      </c>
      <c r="D138" s="208" t="inlineStr">
        <is>
          <t>Actividad económica o giro (y fuente de ingresos)</t>
        </is>
      </c>
      <c r="E138" s="208" t="inlineStr">
        <is>
          <t>Giro informal, uso intensivo de efectivo o vinculado a otras actividades vulnerables.</t>
        </is>
      </c>
      <c r="F138" s="208" t="inlineStr">
        <is>
          <t>Giro formal con manejo parcial de efectivo.</t>
        </is>
      </c>
      <c r="G138" s="208" t="inlineStr">
        <is>
          <t>Giro formal, ingresos documentados y bancarizados.</t>
        </is>
      </c>
    </row>
    <row r="139" ht="18.75" customHeight="1" s="173">
      <c r="A139" s="208">
        <f>B139&amp;"-"&amp;C139</f>
        <v/>
      </c>
      <c r="B139" s="344" t="inlineStr">
        <is>
          <t>V - Construcción/comercialización inmuebles</t>
        </is>
      </c>
      <c r="C139" s="345" t="n">
        <v>9</v>
      </c>
      <c r="D139" s="208" t="inlineStr">
        <is>
          <t>Nacionalidad del cliente</t>
        </is>
      </c>
      <c r="E139" s="208" t="inlineStr">
        <is>
          <t>Nacionalidad de país en listas GAFI, sancionado o régimen fiscal preferente.</t>
        </is>
      </c>
      <c r="F139" s="208" t="inlineStr">
        <is>
          <t>Nacionalidad de país sin deficiencias relevantes en PLD.</t>
        </is>
      </c>
      <c r="G139" s="208" t="inlineStr">
        <is>
          <t>Nacionalidad mexicana o de país con controles PLD robustos.</t>
        </is>
      </c>
    </row>
    <row r="140" ht="18.75" customHeight="1" s="173">
      <c r="A140" s="208">
        <f>B140&amp;"-"&amp;C140</f>
        <v/>
      </c>
      <c r="B140" s="344" t="inlineStr">
        <is>
          <t>V - Construcción/comercialización inmuebles</t>
        </is>
      </c>
      <c r="C140" s="345" t="n">
        <v>10</v>
      </c>
      <c r="D140" s="208" t="inlineStr">
        <is>
          <t>País (y en su caso, estado) de residencia del cliente</t>
        </is>
      </c>
      <c r="E140" s="208" t="inlineStr">
        <is>
          <t>Residencia en jurisdicción de alto riesgo o domicilio no verificable.</t>
        </is>
      </c>
      <c r="F140" s="208" t="inlineStr">
        <is>
          <t>Residencia verificable en jurisdicción de riesgo medio.</t>
        </is>
      </c>
      <c r="G140" s="208" t="inlineStr">
        <is>
          <t>Residencia nacional comprobable y estable.</t>
        </is>
      </c>
    </row>
    <row r="141" ht="18.75" customHeight="1" s="173">
      <c r="A141" s="208">
        <f>B141&amp;"-"&amp;C141</f>
        <v/>
      </c>
      <c r="B141" s="344" t="inlineStr">
        <is>
          <t>V - Construcción/comercialización inmuebles</t>
        </is>
      </c>
      <c r="C141" s="345" t="n">
        <v>11</v>
      </c>
      <c r="D141" s="208" t="inlineStr">
        <is>
          <t>Condición PEP</t>
        </is>
      </c>
      <c r="E141" s="208" t="inlineStr">
        <is>
          <t>Comprador PEP nacional o extranjera, o allegado a PEP.</t>
        </is>
      </c>
      <c r="F141" s="208" t="inlineStr">
        <is>
          <t>Vínculo indirecto o lejano con PEP.</t>
        </is>
      </c>
      <c r="G141" s="208" t="inlineStr">
        <is>
          <t>Sin condición ni vínculo PEP.</t>
        </is>
      </c>
    </row>
    <row r="142" ht="18.75" customHeight="1" s="173">
      <c r="A142" s="208">
        <f>B142&amp;"-"&amp;C142</f>
        <v/>
      </c>
      <c r="B142" s="344" t="inlineStr">
        <is>
          <t>V - Construcción/comercialización inmuebles</t>
        </is>
      </c>
      <c r="C142" s="345" t="n">
        <v>12</v>
      </c>
      <c r="D142" s="208" t="inlineStr">
        <is>
          <t>Coincidencia en listas de personas bloqueadas o de sanciones</t>
        </is>
      </c>
      <c r="E142" s="208" t="inlineStr">
        <is>
          <t>El comprador, su beneficiario controlador, apoderado o contraparte aparece en la Lista de Personas Bloqueadas, en listas de sanciones o en listas de organizaciones terroristas, o presenta una coincidencia fuerte que no ha sido descartada.</t>
        </is>
      </c>
      <c r="F142" s="208" t="inlineStr">
        <is>
          <t>Se detecta coincidencia parcial u homonimia respecto del comprador o de alguna persona relacionada, y el descarte se encuentra en proceso con constancia documental.</t>
        </is>
      </c>
      <c r="G142" s="208" t="inlineStr">
        <is>
          <t>Búsqueda realizada y documentada sobre el comprador y sus personas relacionadas, sin coincidencias.</t>
        </is>
      </c>
    </row>
    <row r="143" ht="18.75" customHeight="1" s="173">
      <c r="A143" s="208">
        <f>B143&amp;"-"&amp;C143</f>
        <v/>
      </c>
      <c r="B143" s="344" t="inlineStr">
        <is>
          <t>V - Construcción/comercialización inmuebles</t>
        </is>
      </c>
      <c r="C143" s="345" t="n">
        <v>13</v>
      </c>
      <c r="D143" s="208" t="inlineStr">
        <is>
          <t>Identificación y complejidad del Beneficiario Controlador</t>
        </is>
      </c>
      <c r="E143" s="208" t="inlineStr">
        <is>
          <t>No se logra identificar al beneficiario controlador del comprador, o la estructura interpone dos o más niveles societarios, fiduciarios o vehículos constituidos en el extranjero para llegar al 25 por ciento.</t>
        </is>
      </c>
      <c r="F143" s="208" t="inlineStr">
        <is>
          <t>Beneficiario controlador identificado, pero a través de una estructura de más de un nivel o con participación indirecta que exigió reconstruir la cadena de control con documentos.</t>
        </is>
      </c>
      <c r="G143" s="208" t="inlineStr">
        <is>
          <t>Beneficiario controlador identificado de forma directa y documentada: persona física que posee al menos el 25 por ciento o que ejerce el control por otra vía acreditada.</t>
        </is>
      </c>
    </row>
    <row r="144" ht="18.75" customHeight="1" s="173">
      <c r="A144" s="208">
        <f>B144&amp;"-"&amp;C144</f>
        <v/>
      </c>
      <c r="B144" s="344" t="inlineStr">
        <is>
          <t>V - Construcción/comercialización inmuebles</t>
        </is>
      </c>
      <c r="C144" s="345" t="n">
        <v>14</v>
      </c>
      <c r="D144" s="208" t="inlineStr">
        <is>
          <t>País / jurisdicción donde se realiza la operación</t>
        </is>
      </c>
      <c r="E144" s="208" t="inlineStr">
        <is>
          <t>Operación pactada con o desde jurisdicción de alto riesgo.</t>
        </is>
      </c>
      <c r="F144" s="208" t="inlineStr">
        <is>
          <t>Operación con componente internacional de riesgo medio.</t>
        </is>
      </c>
      <c r="G144" s="208" t="inlineStr">
        <is>
          <t>Operación íntegramente nacional.</t>
        </is>
      </c>
    </row>
    <row r="145" ht="18.75" customHeight="1" s="173">
      <c r="A145" s="208">
        <f>B145&amp;"-"&amp;C145</f>
        <v/>
      </c>
      <c r="B145" s="344" t="inlineStr">
        <is>
          <t>V - Construcción/comercialización inmuebles</t>
        </is>
      </c>
      <c r="C145" s="345" t="n">
        <v>15</v>
      </c>
      <c r="D145" s="208" t="inlineStr">
        <is>
          <t>Área geográfica nacional de la operación</t>
        </is>
      </c>
      <c r="E145" s="208" t="inlineStr">
        <is>
          <t>Inmueble o desarrollo en zona de alta incidencia delictiva, marginación o frontera.</t>
        </is>
      </c>
      <c r="F145" s="208" t="inlineStr">
        <is>
          <t>Zona urbana consolidada de riesgo intermedio.</t>
        </is>
      </c>
      <c r="G145" s="208" t="inlineStr">
        <is>
          <t>Zona de baja incidencia delictiva y buena trazabilidad.</t>
        </is>
      </c>
    </row>
    <row r="146" ht="18.75" customHeight="1" s="173">
      <c r="A146" s="208">
        <f>B146&amp;"-"&amp;C146</f>
        <v/>
      </c>
      <c r="B146" s="344" t="inlineStr">
        <is>
          <t>V - Construcción/comercialización inmuebles</t>
        </is>
      </c>
      <c r="C146" s="345" t="n">
        <v>16</v>
      </c>
      <c r="D146" s="208" t="inlineStr">
        <is>
          <t>Vínculo con jurisdicciones sancionadas, en conflicto o de acción requerida por el GAFI</t>
        </is>
      </c>
      <c r="E146" s="208" t="inlineStr">
        <is>
          <t>Existe exposición a jurisdicciones sancionadas, en conflicto armado o de acción requerida del GAFI, por la vía de compradores no residentes o recursos remitidos desde el extranjero.</t>
        </is>
      </c>
      <c r="F146" s="208" t="inlineStr">
        <is>
          <t>Vínculo con jurisdicciones bajo monitoreo intensificado del GAFI o con deficiencias señaladas en la ENR, sin estar sancionadas ni en conflicto.</t>
        </is>
      </c>
      <c r="G146" s="208" t="inlineStr">
        <is>
          <t>Sin vínculo con jurisdicciones sancionadas, en conflicto o listadas por el GAFI; la operación y sus partes se ubican en plazas sin señalamientos.</t>
        </is>
      </c>
    </row>
    <row r="147" ht="18.75" customHeight="1" s="173">
      <c r="A147" s="208">
        <f>B147&amp;"-"&amp;C147</f>
        <v/>
      </c>
      <c r="B147" s="344" t="inlineStr">
        <is>
          <t>V - Construcción/comercialización inmuebles</t>
        </is>
      </c>
      <c r="C147" s="345" t="n">
        <v>17</v>
      </c>
      <c r="D147" s="208" t="inlineStr">
        <is>
          <t>Congruencia entre el domicilio del Cliente y el lugar de la operación</t>
        </is>
      </c>
      <c r="E147" s="208" t="inlineStr">
        <is>
          <t>El domicilio del comprador no guarda relación económica ni logística con el lugar donde se realiza la compraventa del inmueble, y no existe explicación documentada del desplazamiento.</t>
        </is>
      </c>
      <c r="F147" s="208" t="inlineStr">
        <is>
          <t>Existe distancia relevante entre el domicilio del comprador y el lugar de la operación, con explicación plausible pero no soportada en el expediente.</t>
        </is>
      </c>
      <c r="G147" s="208" t="inlineStr">
        <is>
          <t>El domicilio del comprador corresponde a la plaza donde se realiza la compraventa del inmueble, o el desplazamiento está justificado y documentado.</t>
        </is>
      </c>
    </row>
    <row r="148" ht="18.75" customHeight="1" s="173">
      <c r="A148" s="208">
        <f>B148&amp;"-"&amp;C148</f>
        <v/>
      </c>
      <c r="B148" s="344" t="inlineStr">
        <is>
          <t>V - Construcción/comercialización inmuebles</t>
        </is>
      </c>
      <c r="C148" s="345" t="n">
        <v>18</v>
      </c>
      <c r="D148" s="208" t="inlineStr">
        <is>
          <t>Instrumento monetario</t>
        </is>
      </c>
      <c r="E148" s="208" t="inlineStr">
        <is>
          <t>Pago en efectivo, instrumentos al portador o criptoactivos.</t>
        </is>
      </c>
      <c r="F148" s="208" t="inlineStr">
        <is>
          <t>Pagos mixtos con efectivo parcial y transferencias.</t>
        </is>
      </c>
      <c r="G148" s="208" t="inlineStr">
        <is>
          <t>Pago íntegro por transferencia bancaria o crédito hipotecario.</t>
        </is>
      </c>
    </row>
    <row r="149" ht="18.75" customHeight="1" s="173">
      <c r="A149" s="208">
        <f>B149&amp;"-"&amp;C149</f>
        <v/>
      </c>
      <c r="B149" s="344" t="inlineStr">
        <is>
          <t>V - Construcción/comercialización inmuebles</t>
        </is>
      </c>
      <c r="C149" s="345" t="n">
        <v>19</v>
      </c>
      <c r="D149" s="208" t="inlineStr">
        <is>
          <t>Tipo de moneda</t>
        </is>
      </c>
      <c r="E149" s="208" t="inlineStr">
        <is>
          <t>Pago en moneda extranjera distinta al USD o en criptomonedas.</t>
        </is>
      </c>
      <c r="F149" s="208" t="inlineStr">
        <is>
          <t>Pago en USD con soporte documental.</t>
        </is>
      </c>
      <c r="G149" s="208" t="inlineStr">
        <is>
          <t>Pago en pesos mexicanos.</t>
        </is>
      </c>
    </row>
    <row r="150" ht="18.75" customHeight="1" s="173">
      <c r="A150" s="208">
        <f>B150&amp;"-"&amp;C150</f>
        <v/>
      </c>
      <c r="B150" s="344" t="inlineStr">
        <is>
          <t>V - Construcción/comercialización inmuebles</t>
        </is>
      </c>
      <c r="C150" s="345" t="n">
        <v>20</v>
      </c>
      <c r="D150" s="208" t="inlineStr">
        <is>
          <t>Monto frente a umbrales LFPIORPI</t>
        </is>
      </c>
      <c r="E150" s="208" t="inlineStr">
        <is>
          <t>Monto supera ampliamente el umbral de aviso (8,025 UMA).</t>
        </is>
      </c>
      <c r="F150" s="208" t="inlineStr">
        <is>
          <t>Monto cercano al umbral de aviso sin superarlo.</t>
        </is>
      </c>
      <c r="G150" s="208" t="inlineStr">
        <is>
          <t>Monto muy por debajo del umbral de aviso.</t>
        </is>
      </c>
    </row>
    <row r="151" ht="18.75" customHeight="1" s="173">
      <c r="A151" s="208">
        <f>B151&amp;"-"&amp;C151</f>
        <v/>
      </c>
      <c r="B151" s="344" t="inlineStr">
        <is>
          <t>V - Construcción/comercialización inmuebles</t>
        </is>
      </c>
      <c r="C151" s="345" t="n">
        <v>21</v>
      </c>
      <c r="D151" s="208" t="inlineStr">
        <is>
          <t>Frecuencia (fraccionamiento)</t>
        </is>
      </c>
      <c r="E151" s="208" t="inlineStr">
        <is>
          <t>Pagos frecuentes o fraccionados en preventa para eludir umbrales de aviso.</t>
        </is>
      </c>
      <c r="F151" s="208" t="inlineStr">
        <is>
          <t>Pagos parcializados según calendario contractual justificado.</t>
        </is>
      </c>
      <c r="G151" s="208" t="inlineStr">
        <is>
          <t>Pago único o esquema hipotecario formal sin fraccionamiento.</t>
        </is>
      </c>
    </row>
    <row r="152" ht="18.75" customHeight="1" s="173">
      <c r="A152" s="208">
        <f>B152&amp;"-"&amp;C152</f>
        <v/>
      </c>
      <c r="B152" s="344" t="inlineStr">
        <is>
          <t>V - Construcción/comercialización inmuebles</t>
        </is>
      </c>
      <c r="C152" s="345" t="n">
        <v>22</v>
      </c>
      <c r="D152" s="208" t="inlineStr">
        <is>
          <t>Canal (presencial / no presencial / terceros)</t>
        </is>
      </c>
      <c r="E152" s="208" t="inlineStr">
        <is>
          <t>Compra no presencial o mediante terceros sin contacto directo con el desarrollador.</t>
        </is>
      </c>
      <c r="F152" s="208" t="inlineStr">
        <is>
          <t>Contacto parcial o representación con poder documentado.</t>
        </is>
      </c>
      <c r="G152" s="208" t="inlineStr">
        <is>
          <t>Compra presencial con identificación directa del cliente.</t>
        </is>
      </c>
    </row>
    <row r="153" ht="18.75" customHeight="1" s="173">
      <c r="A153" s="208">
        <f>B153&amp;"-"&amp;C153</f>
        <v/>
      </c>
      <c r="B153" s="344" t="inlineStr">
        <is>
          <t>V - Construcción/comercialización inmuebles</t>
        </is>
      </c>
      <c r="C153" s="345" t="n">
        <v>23</v>
      </c>
      <c r="D153" s="208" t="inlineStr">
        <is>
          <t>Origen de los recursos</t>
        </is>
      </c>
      <c r="E153" s="208" t="inlineStr">
        <is>
          <t>Origen de recursos no acreditable, en efectivo o de fuente informal.</t>
        </is>
      </c>
      <c r="F153" s="208" t="inlineStr">
        <is>
          <t>Origen parcialmente documentado con soporte incompleto.</t>
        </is>
      </c>
      <c r="G153" s="208" t="inlineStr">
        <is>
          <t>Origen acreditado con documentación financiera y fiscal.</t>
        </is>
      </c>
    </row>
    <row r="154" ht="18.75" customHeight="1" s="173">
      <c r="A154" s="208">
        <f>B154&amp;"-"&amp;C154</f>
        <v/>
      </c>
      <c r="B154" s="344" t="inlineStr">
        <is>
          <t>V - Construcción/comercialización inmuebles</t>
        </is>
      </c>
      <c r="C154" s="345" t="n">
        <v>24</v>
      </c>
      <c r="D154" s="208" t="inlineStr">
        <is>
          <t>Destino de los recursos</t>
        </is>
      </c>
      <c r="E154" s="208" t="inlineStr">
        <is>
          <t>Destino opaco: reventa inmediata, cesión a terceros o salida al exterior sin justificar.</t>
        </is>
      </c>
      <c r="F154" s="208" t="inlineStr">
        <is>
          <t>Destino declarado con justificación parcial.</t>
        </is>
      </c>
      <c r="G154" s="208" t="inlineStr">
        <is>
          <t>Destino claro: uso propio o inversión documentada.</t>
        </is>
      </c>
    </row>
    <row r="155" ht="18.75" customHeight="1" s="173">
      <c r="A155" s="208">
        <f>B155&amp;"-"&amp;C155</f>
        <v/>
      </c>
      <c r="B155" s="344" t="inlineStr">
        <is>
          <t>V - Construcción/comercialización inmuebles</t>
        </is>
      </c>
      <c r="C155" s="345" t="n">
        <v>25</v>
      </c>
      <c r="D155" s="208" t="inlineStr">
        <is>
          <t>Canales e instrumentos idóneos para el financiamiento al terrorismo</t>
        </is>
      </c>
      <c r="E155" s="208" t="inlineStr">
        <is>
          <t>La operación se realiza mediante operaciones cerradas a distancia mediante apoderados y pagos parciales en efectivo, es decir, medios que permiten mover valor en montos pequeños sin identificar al destinatario final.</t>
        </is>
      </c>
      <c r="F155" s="208" t="inlineStr">
        <is>
          <t>Canal mixto o con verificación parcial: hay registro de la operación pero la trazabilidad del destinatario final es incompleta.</t>
        </is>
      </c>
      <c r="G155" s="208" t="inlineStr">
        <is>
          <t>Operación con comprador identificado de forma directa y pagos bancarizados a nombre propio, con trazabilidad completa del origen y del destinatario.</t>
        </is>
      </c>
    </row>
    <row r="156" ht="18.75" customHeight="1" s="173">
      <c r="A156" s="208">
        <f>B156&amp;"-"&amp;C156</f>
        <v/>
      </c>
      <c r="B156" s="344" t="inlineStr">
        <is>
          <t>V Bis - Recepción recursos desarrollo inmobiliario</t>
        </is>
      </c>
      <c r="C156" s="345" t="n">
        <v>1</v>
      </c>
      <c r="D156" s="208" t="inlineStr">
        <is>
          <t>Valor del producto o servicio</t>
        </is>
      </c>
      <c r="E156" s="208" t="inlineStr">
        <is>
          <t>Aportaciones de alto valor a proyectos de gran escala o segmento de lujo.</t>
        </is>
      </c>
      <c r="F156" s="208" t="inlineStr">
        <is>
          <t>Aportaciones de valor medio en proyectos medianos.</t>
        </is>
      </c>
      <c r="G156" s="208" t="inlineStr">
        <is>
          <t>Aportaciones de bajo valor en proyectos regulados y trazables.</t>
        </is>
      </c>
    </row>
    <row r="157" ht="18.75" customHeight="1" s="173">
      <c r="A157" s="208">
        <f>B157&amp;"-"&amp;C157</f>
        <v/>
      </c>
      <c r="B157" s="344" t="inlineStr">
        <is>
          <t>V Bis - Recepción recursos desarrollo inmobiliario</t>
        </is>
      </c>
      <c r="C157" s="345" t="n">
        <v>2</v>
      </c>
      <c r="D157" s="208" t="inlineStr">
        <is>
          <t>Liquidez / convertibilidad</t>
        </is>
      </c>
      <c r="E157" s="208" t="inlineStr">
        <is>
          <t>Aportaciones fácilmente reembolsables o cedibles, alta convertibilidad a efectivo.</t>
        </is>
      </c>
      <c r="F157" s="208" t="inlineStr">
        <is>
          <t>Aportaciones con reembolso sujeto a contrato y plazos.</t>
        </is>
      </c>
      <c r="G157" s="208" t="inlineStr">
        <is>
          <t>Recursos comprometidos vía institución financiera, baja liquidez.</t>
        </is>
      </c>
    </row>
    <row r="158" ht="18.75" customHeight="1" s="173">
      <c r="A158" s="208">
        <f>B158&amp;"-"&amp;C158</f>
        <v/>
      </c>
      <c r="B158" s="344" t="inlineStr">
        <is>
          <t>V Bis - Recepción recursos desarrollo inmobiliario</t>
        </is>
      </c>
      <c r="C158" s="345" t="n">
        <v>3</v>
      </c>
      <c r="D158" s="208" t="inlineStr">
        <is>
          <t>Anonimato / identificación del beneficiario</t>
        </is>
      </c>
      <c r="E158" s="208" t="inlineStr">
        <is>
          <t>Múltiples inversionistas no identificados o beneficiario final oculto tras el proyecto.</t>
        </is>
      </c>
      <c r="F158" s="208" t="inlineStr">
        <is>
          <t>Inversionistas identificados con beneficiario final parcialmente documentado.</t>
        </is>
      </c>
      <c r="G158" s="208" t="inlineStr">
        <is>
          <t>Inversionistas y beneficiarios finales plenamente identificados.</t>
        </is>
      </c>
    </row>
    <row r="159" ht="18.75" customHeight="1" s="173">
      <c r="A159" s="208">
        <f>B159&amp;"-"&amp;C159</f>
        <v/>
      </c>
      <c r="B159" s="344" t="inlineStr">
        <is>
          <t>V Bis - Recepción recursos desarrollo inmobiliario</t>
        </is>
      </c>
      <c r="C159" s="345" t="n">
        <v>4</v>
      </c>
      <c r="D159" s="208" t="inlineStr">
        <is>
          <t>Transferencia u ocultamiento de valor</t>
        </is>
      </c>
      <c r="E159" s="208" t="inlineStr">
        <is>
          <t>El proyecto permite canalizar y estratificar recursos ilícitos entre múltiples aportantes.</t>
        </is>
      </c>
      <c r="F159" s="208" t="inlineStr">
        <is>
          <t>Riesgo moderado de ocultamiento con recursos mixtos.</t>
        </is>
      </c>
      <c r="G159" s="208" t="inlineStr">
        <is>
          <t>Recursos bancarizados y trazables con contratos formalizados.</t>
        </is>
      </c>
    </row>
    <row r="160" ht="18.75" customHeight="1" s="173">
      <c r="A160" s="208">
        <f>B160&amp;"-"&amp;C160</f>
        <v/>
      </c>
      <c r="B160" s="344" t="inlineStr">
        <is>
          <t>V Bis - Recepción recursos desarrollo inmobiliario</t>
        </is>
      </c>
      <c r="C160" s="345" t="n">
        <v>5</v>
      </c>
      <c r="D160" s="208" t="inlineStr">
        <is>
          <t>Exposición del acto u operación al financiamiento al terrorismo</t>
        </is>
      </c>
      <c r="E160" s="208" t="inlineStr">
        <is>
          <t>Captación de aportaciones de personas o vehículos vinculados con organizaciones señaladas en listas, usando el desarrollo como destino aparente de recursos.</t>
        </is>
      </c>
      <c r="F160" s="208" t="inlineStr">
        <is>
          <t>Aportantes del extranjero o vehículos con estructura opaca, sin coincidencias en listas.</t>
        </is>
      </c>
      <c r="G160" s="208" t="inlineStr">
        <is>
          <t>Aportantes identificados, con recursos bancarizados y capacidad económica acreditada.</t>
        </is>
      </c>
    </row>
    <row r="161" ht="18.75" customHeight="1" s="173">
      <c r="A161" s="208">
        <f>B161&amp;"-"&amp;C161</f>
        <v/>
      </c>
      <c r="B161" s="344" t="inlineStr">
        <is>
          <t>V Bis - Recepción recursos desarrollo inmobiliario</t>
        </is>
      </c>
      <c r="C161" s="345" t="n">
        <v>6</v>
      </c>
      <c r="D161" s="208" t="inlineStr">
        <is>
          <t>Tipo de persona y estructura</t>
        </is>
      </c>
      <c r="E161" s="208" t="inlineStr">
        <is>
          <t>Aportante persona moral extranjera, fideicomiso o estructura opaca.</t>
        </is>
      </c>
      <c r="F161" s="208" t="inlineStr">
        <is>
          <t>Persona moral nacional con estructura clara.</t>
        </is>
      </c>
      <c r="G161" s="208" t="inlineStr">
        <is>
          <t>Inversionista persona física plenamente identificado.</t>
        </is>
      </c>
    </row>
    <row r="162" ht="18.75" customHeight="1" s="173">
      <c r="A162" s="208">
        <f>B162&amp;"-"&amp;C162</f>
        <v/>
      </c>
      <c r="B162" s="344" t="inlineStr">
        <is>
          <t>V Bis - Recepción recursos desarrollo inmobiliario</t>
        </is>
      </c>
      <c r="C162" s="345" t="n">
        <v>7</v>
      </c>
      <c r="D162" s="208" t="inlineStr">
        <is>
          <t>Edad / fecha de constitución</t>
        </is>
      </c>
      <c r="E162" s="208" t="inlineStr">
        <is>
          <t>Aportante empresa de reciente creación o persona física joven sin historial.</t>
        </is>
      </c>
      <c r="F162" s="208" t="inlineStr">
        <is>
          <t>Empresa con antigüedad moderada.</t>
        </is>
      </c>
      <c r="G162" s="208" t="inlineStr">
        <is>
          <t>Aportante con trayectoria acreditable.</t>
        </is>
      </c>
    </row>
    <row r="163" ht="18.75" customHeight="1" s="173">
      <c r="A163" s="208">
        <f>B163&amp;"-"&amp;C163</f>
        <v/>
      </c>
      <c r="B163" s="344" t="inlineStr">
        <is>
          <t>V Bis - Recepción recursos desarrollo inmobiliario</t>
        </is>
      </c>
      <c r="C163" s="345" t="n">
        <v>8</v>
      </c>
      <c r="D163" s="208" t="inlineStr">
        <is>
          <t>Actividad económica o giro (y fuente de ingresos)</t>
        </is>
      </c>
      <c r="E163" s="208" t="inlineStr">
        <is>
          <t>Giro informal del aportante, uso intensivo de efectivo o ligado a otras AV.</t>
        </is>
      </c>
      <c r="F163" s="208" t="inlineStr">
        <is>
          <t>Giro formal con manejo parcial de efectivo.</t>
        </is>
      </c>
      <c r="G163" s="208" t="inlineStr">
        <is>
          <t>Giro formal con ingresos documentados y bancarizados.</t>
        </is>
      </c>
    </row>
    <row r="164" ht="18.75" customHeight="1" s="173">
      <c r="A164" s="208">
        <f>B164&amp;"-"&amp;C164</f>
        <v/>
      </c>
      <c r="B164" s="344" t="inlineStr">
        <is>
          <t>V Bis - Recepción recursos desarrollo inmobiliario</t>
        </is>
      </c>
      <c r="C164" s="345" t="n">
        <v>9</v>
      </c>
      <c r="D164" s="208" t="inlineStr">
        <is>
          <t>Nacionalidad del cliente</t>
        </is>
      </c>
      <c r="E164" s="208" t="inlineStr">
        <is>
          <t>Nacionalidad de país en listas GAFI, sancionado o régimen fiscal preferente.</t>
        </is>
      </c>
      <c r="F164" s="208" t="inlineStr">
        <is>
          <t>Nacionalidad de país sin deficiencias relevantes en PLD.</t>
        </is>
      </c>
      <c r="G164" s="208" t="inlineStr">
        <is>
          <t>Nacionalidad mexicana o de país con controles PLD robustos.</t>
        </is>
      </c>
    </row>
    <row r="165" ht="18.75" customHeight="1" s="173">
      <c r="A165" s="208">
        <f>B165&amp;"-"&amp;C165</f>
        <v/>
      </c>
      <c r="B165" s="344" t="inlineStr">
        <is>
          <t>V Bis - Recepción recursos desarrollo inmobiliario</t>
        </is>
      </c>
      <c r="C165" s="345" t="n">
        <v>10</v>
      </c>
      <c r="D165" s="208" t="inlineStr">
        <is>
          <t>País (y en su caso, estado) de residencia del cliente</t>
        </is>
      </c>
      <c r="E165" s="208" t="inlineStr">
        <is>
          <t>Residencia del aportante en jurisdicción de alto riesgo o no verificable.</t>
        </is>
      </c>
      <c r="F165" s="208" t="inlineStr">
        <is>
          <t>Residencia verificable en jurisdicción de riesgo medio.</t>
        </is>
      </c>
      <c r="G165" s="208" t="inlineStr">
        <is>
          <t>Residencia nacional comprobable y estable.</t>
        </is>
      </c>
    </row>
    <row r="166" ht="18.75" customHeight="1" s="173">
      <c r="A166" s="208">
        <f>B166&amp;"-"&amp;C166</f>
        <v/>
      </c>
      <c r="B166" s="344" t="inlineStr">
        <is>
          <t>V Bis - Recepción recursos desarrollo inmobiliario</t>
        </is>
      </c>
      <c r="C166" s="345" t="n">
        <v>11</v>
      </c>
      <c r="D166" s="208" t="inlineStr">
        <is>
          <t>Condición PEP</t>
        </is>
      </c>
      <c r="E166" s="208" t="inlineStr">
        <is>
          <t>Aportante PEP nacional o extranjera, o allegado a PEP.</t>
        </is>
      </c>
      <c r="F166" s="208" t="inlineStr">
        <is>
          <t>Vínculo indirecto o lejano con PEP.</t>
        </is>
      </c>
      <c r="G166" s="208" t="inlineStr">
        <is>
          <t>Sin condición ni vínculo PEP.</t>
        </is>
      </c>
    </row>
    <row r="167" ht="18.75" customHeight="1" s="173">
      <c r="A167" s="208">
        <f>B167&amp;"-"&amp;C167</f>
        <v/>
      </c>
      <c r="B167" s="344" t="inlineStr">
        <is>
          <t>V Bis - Recepción recursos desarrollo inmobiliario</t>
        </is>
      </c>
      <c r="C167" s="345" t="n">
        <v>12</v>
      </c>
      <c r="D167" s="208" t="inlineStr">
        <is>
          <t>Coincidencia en listas de personas bloqueadas o de sanciones</t>
        </is>
      </c>
      <c r="E167" s="208" t="inlineStr">
        <is>
          <t>El aportante, su beneficiario controlador, apoderado o contraparte aparece en la Lista de Personas Bloqueadas, en listas de sanciones o en listas de organizaciones terroristas, o presenta una coincidencia fuerte que no ha sido descartada.</t>
        </is>
      </c>
      <c r="F167" s="208" t="inlineStr">
        <is>
          <t>Se detecta coincidencia parcial u homonimia respecto del aportante o de alguna persona relacionada, y el descarte se encuentra en proceso con constancia documental.</t>
        </is>
      </c>
      <c r="G167" s="208" t="inlineStr">
        <is>
          <t>Búsqueda realizada y documentada sobre el aportante y sus personas relacionadas, sin coincidencias.</t>
        </is>
      </c>
    </row>
    <row r="168" ht="18.75" customHeight="1" s="173">
      <c r="A168" s="208">
        <f>B168&amp;"-"&amp;C168</f>
        <v/>
      </c>
      <c r="B168" s="344" t="inlineStr">
        <is>
          <t>V Bis - Recepción recursos desarrollo inmobiliario</t>
        </is>
      </c>
      <c r="C168" s="345" t="n">
        <v>13</v>
      </c>
      <c r="D168" s="208" t="inlineStr">
        <is>
          <t>Identificación y complejidad del Beneficiario Controlador</t>
        </is>
      </c>
      <c r="E168" s="208" t="inlineStr">
        <is>
          <t>No se logra identificar al beneficiario controlador del aportante, o la estructura interpone dos o más niveles societarios, fiduciarios o vehículos constituidos en el extranjero para llegar al 25 por ciento.</t>
        </is>
      </c>
      <c r="F168" s="208" t="inlineStr">
        <is>
          <t>Beneficiario controlador identificado, pero a través de una estructura de más de un nivel o con participación indirecta que exigió reconstruir la cadena de control con documentos.</t>
        </is>
      </c>
      <c r="G168" s="208" t="inlineStr">
        <is>
          <t>Beneficiario controlador identificado de forma directa y documentada: persona física que posee al menos el 25 por ciento o que ejerce el control por otra vía acreditada.</t>
        </is>
      </c>
    </row>
    <row r="169" ht="18.75" customHeight="1" s="173">
      <c r="A169" s="208">
        <f>B169&amp;"-"&amp;C169</f>
        <v/>
      </c>
      <c r="B169" s="344" t="inlineStr">
        <is>
          <t>V Bis - Recepción recursos desarrollo inmobiliario</t>
        </is>
      </c>
      <c r="C169" s="345" t="n">
        <v>14</v>
      </c>
      <c r="D169" s="208" t="inlineStr">
        <is>
          <t>País / jurisdicción donde se realiza la operación</t>
        </is>
      </c>
      <c r="E169" s="208" t="inlineStr">
        <is>
          <t>Recursos provenientes de o canalizados hacia jurisdicción de alto riesgo.</t>
        </is>
      </c>
      <c r="F169" s="208" t="inlineStr">
        <is>
          <t>Componente internacional de riesgo medio.</t>
        </is>
      </c>
      <c r="G169" s="208" t="inlineStr">
        <is>
          <t>Aportaciones íntegramente nacionales.</t>
        </is>
      </c>
    </row>
    <row r="170" ht="18.75" customHeight="1" s="173">
      <c r="A170" s="208">
        <f>B170&amp;"-"&amp;C170</f>
        <v/>
      </c>
      <c r="B170" s="344" t="inlineStr">
        <is>
          <t>V Bis - Recepción recursos desarrollo inmobiliario</t>
        </is>
      </c>
      <c r="C170" s="345" t="n">
        <v>15</v>
      </c>
      <c r="D170" s="208" t="inlineStr">
        <is>
          <t>Área geográfica nacional de la operación</t>
        </is>
      </c>
      <c r="E170" s="208" t="inlineStr">
        <is>
          <t>Proyecto ubicado en zona de alta incidencia delictiva, marginación o frontera.</t>
        </is>
      </c>
      <c r="F170" s="208" t="inlineStr">
        <is>
          <t>Zona urbana consolidada de riesgo intermedio.</t>
        </is>
      </c>
      <c r="G170" s="208" t="inlineStr">
        <is>
          <t>Zona de baja incidencia delictiva y buena trazabilidad.</t>
        </is>
      </c>
    </row>
    <row r="171" ht="18.75" customHeight="1" s="173">
      <c r="A171" s="208">
        <f>B171&amp;"-"&amp;C171</f>
        <v/>
      </c>
      <c r="B171" s="344" t="inlineStr">
        <is>
          <t>V Bis - Recepción recursos desarrollo inmobiliario</t>
        </is>
      </c>
      <c r="C171" s="345" t="n">
        <v>16</v>
      </c>
      <c r="D171" s="208" t="inlineStr">
        <is>
          <t>Vínculo con jurisdicciones sancionadas, en conflicto o de acción requerida por el GAFI</t>
        </is>
      </c>
      <c r="E171" s="208" t="inlineStr">
        <is>
          <t>Existe exposición a jurisdicciones sancionadas, en conflicto armado o de acción requerida del GAFI, por la vía de aportaciones recibidas desde el extranjero.</t>
        </is>
      </c>
      <c r="F171" s="208" t="inlineStr">
        <is>
          <t>Vínculo con jurisdicciones bajo monitoreo intensificado del GAFI o con deficiencias señaladas en la ENR, sin estar sancionadas ni en conflicto.</t>
        </is>
      </c>
      <c r="G171" s="208" t="inlineStr">
        <is>
          <t>Sin vínculo con jurisdicciones sancionadas, en conflicto o listadas por el GAFI; la operación y sus partes se ubican en plazas sin señalamientos.</t>
        </is>
      </c>
    </row>
    <row r="172" ht="18.75" customHeight="1" s="173">
      <c r="A172" s="208">
        <f>B172&amp;"-"&amp;C172</f>
        <v/>
      </c>
      <c r="B172" s="344" t="inlineStr">
        <is>
          <t>V Bis - Recepción recursos desarrollo inmobiliario</t>
        </is>
      </c>
      <c r="C172" s="345" t="n">
        <v>17</v>
      </c>
      <c r="D172" s="208" t="inlineStr">
        <is>
          <t>Congruencia entre el domicilio del Cliente y el lugar de la operación</t>
        </is>
      </c>
      <c r="E172" s="208" t="inlineStr">
        <is>
          <t>El domicilio del aportante no guarda relación económica ni logística con el lugar donde se realiza la aportación de recursos al desarrollo, y no existe explicación documentada del desplazamiento.</t>
        </is>
      </c>
      <c r="F172" s="208" t="inlineStr">
        <is>
          <t>Existe distancia relevante entre el domicilio del aportante y el lugar de la operación, con explicación plausible pero no soportada en el expediente.</t>
        </is>
      </c>
      <c r="G172" s="208" t="inlineStr">
        <is>
          <t>El domicilio del aportante corresponde a la plaza donde se realiza la aportación de recursos al desarrollo, o el desplazamiento está justificado y documentado.</t>
        </is>
      </c>
    </row>
    <row r="173" ht="18.75" customHeight="1" s="173">
      <c r="A173" s="208">
        <f>B173&amp;"-"&amp;C173</f>
        <v/>
      </c>
      <c r="B173" s="344" t="inlineStr">
        <is>
          <t>V Bis - Recepción recursos desarrollo inmobiliario</t>
        </is>
      </c>
      <c r="C173" s="345" t="n">
        <v>18</v>
      </c>
      <c r="D173" s="208" t="inlineStr">
        <is>
          <t>Instrumento monetario</t>
        </is>
      </c>
      <c r="E173" s="208" t="inlineStr">
        <is>
          <t>Aportaciones en efectivo, instrumentos al portador o criptoactivos.</t>
        </is>
      </c>
      <c r="F173" s="208" t="inlineStr">
        <is>
          <t>Aportaciones mixtas con efectivo parcial y transferencias.</t>
        </is>
      </c>
      <c r="G173" s="208" t="inlineStr">
        <is>
          <t>Aportaciones íntegras por transferencia bancaria.</t>
        </is>
      </c>
    </row>
    <row r="174" ht="18.75" customHeight="1" s="173">
      <c r="A174" s="208">
        <f>B174&amp;"-"&amp;C174</f>
        <v/>
      </c>
      <c r="B174" s="344" t="inlineStr">
        <is>
          <t>V Bis - Recepción recursos desarrollo inmobiliario</t>
        </is>
      </c>
      <c r="C174" s="345" t="n">
        <v>19</v>
      </c>
      <c r="D174" s="208" t="inlineStr">
        <is>
          <t>Tipo de moneda</t>
        </is>
      </c>
      <c r="E174" s="208" t="inlineStr">
        <is>
          <t>Aportaciones en moneda extranjera distinta al USD o en criptomonedas.</t>
        </is>
      </c>
      <c r="F174" s="208" t="inlineStr">
        <is>
          <t>Aportaciones en USD con soporte documental.</t>
        </is>
      </c>
      <c r="G174" s="208" t="inlineStr">
        <is>
          <t>Aportaciones en pesos mexicanos.</t>
        </is>
      </c>
    </row>
    <row r="175" ht="18.75" customHeight="1" s="173">
      <c r="A175" s="208">
        <f>B175&amp;"-"&amp;C175</f>
        <v/>
      </c>
      <c r="B175" s="344" t="inlineStr">
        <is>
          <t>V Bis - Recepción recursos desarrollo inmobiliario</t>
        </is>
      </c>
      <c r="C175" s="345" t="n">
        <v>20</v>
      </c>
      <c r="D175" s="208" t="inlineStr">
        <is>
          <t>Monto frente a umbrales LFPIORPI</t>
        </is>
      </c>
      <c r="E175" s="208" t="inlineStr">
        <is>
          <t>Monto de aportación supera ampliamente el umbral de aviso (8,025 UMA).</t>
        </is>
      </c>
      <c r="F175" s="208" t="inlineStr">
        <is>
          <t>Monto cercano al umbral de aviso sin superarlo.</t>
        </is>
      </c>
      <c r="G175" s="208" t="inlineStr">
        <is>
          <t>Monto muy por debajo del umbral de aviso.</t>
        </is>
      </c>
    </row>
    <row r="176" ht="18.75" customHeight="1" s="173">
      <c r="A176" s="208">
        <f>B176&amp;"-"&amp;C176</f>
        <v/>
      </c>
      <c r="B176" s="344" t="inlineStr">
        <is>
          <t>V Bis - Recepción recursos desarrollo inmobiliario</t>
        </is>
      </c>
      <c r="C176" s="345" t="n">
        <v>21</v>
      </c>
      <c r="D176" s="208" t="inlineStr">
        <is>
          <t>Frecuencia (fraccionamiento)</t>
        </is>
      </c>
      <c r="E176" s="208" t="inlineStr">
        <is>
          <t>Aportaciones frecuentes o fraccionadas entre inversionistas para eludir umbrales.</t>
        </is>
      </c>
      <c r="F176" s="208" t="inlineStr">
        <is>
          <t>Aportaciones parcializadas según calendario contractual.</t>
        </is>
      </c>
      <c r="G176" s="208" t="inlineStr">
        <is>
          <t>Aportación única o programada sin fraccionamiento.</t>
        </is>
      </c>
    </row>
    <row r="177" ht="18.75" customHeight="1" s="173">
      <c r="A177" s="208">
        <f>B177&amp;"-"&amp;C177</f>
        <v/>
      </c>
      <c r="B177" s="344" t="inlineStr">
        <is>
          <t>V Bis - Recepción recursos desarrollo inmobiliario</t>
        </is>
      </c>
      <c r="C177" s="345" t="n">
        <v>22</v>
      </c>
      <c r="D177" s="208" t="inlineStr">
        <is>
          <t>Canal (presencial / no presencial / terceros)</t>
        </is>
      </c>
      <c r="E177" s="208" t="inlineStr">
        <is>
          <t>Recepción no presencial o vía terceros sin contacto directo con el inversionista.</t>
        </is>
      </c>
      <c r="F177" s="208" t="inlineStr">
        <is>
          <t>Contacto parcial o representación con poder documentado.</t>
        </is>
      </c>
      <c r="G177" s="208" t="inlineStr">
        <is>
          <t>Recepción presencial con identificación directa del aportante.</t>
        </is>
      </c>
    </row>
    <row r="178" ht="18.75" customHeight="1" s="173">
      <c r="A178" s="208">
        <f>B178&amp;"-"&amp;C178</f>
        <v/>
      </c>
      <c r="B178" s="344" t="inlineStr">
        <is>
          <t>V Bis - Recepción recursos desarrollo inmobiliario</t>
        </is>
      </c>
      <c r="C178" s="345" t="n">
        <v>23</v>
      </c>
      <c r="D178" s="208" t="inlineStr">
        <is>
          <t>Origen de los recursos</t>
        </is>
      </c>
      <c r="E178" s="208" t="inlineStr">
        <is>
          <t>Origen de las aportaciones no acreditable, en efectivo o de fuente informal.</t>
        </is>
      </c>
      <c r="F178" s="208" t="inlineStr">
        <is>
          <t>Origen parcialmente documentado con soporte incompleto.</t>
        </is>
      </c>
      <c r="G178" s="208" t="inlineStr">
        <is>
          <t>Origen acreditado con documentación financiera y fiscal.</t>
        </is>
      </c>
    </row>
    <row r="179" ht="18.75" customHeight="1" s="173">
      <c r="A179" s="208">
        <f>B179&amp;"-"&amp;C179</f>
        <v/>
      </c>
      <c r="B179" s="344" t="inlineStr">
        <is>
          <t>V Bis - Recepción recursos desarrollo inmobiliario</t>
        </is>
      </c>
      <c r="C179" s="345" t="n">
        <v>24</v>
      </c>
      <c r="D179" s="208" t="inlineStr">
        <is>
          <t>Destino de los recursos</t>
        </is>
      </c>
      <c r="E179" s="208" t="inlineStr">
        <is>
          <t>Destino de recursos opaco, desviado del proyecto o hacia terceros sin justificar.</t>
        </is>
      </c>
      <c r="F179" s="208" t="inlineStr">
        <is>
          <t>Destino declarado con justificación parcial.</t>
        </is>
      </c>
      <c r="G179" s="208" t="inlineStr">
        <is>
          <t>Destino aplicado al proyecto con trazabilidad plena.</t>
        </is>
      </c>
    </row>
    <row r="180" ht="18.75" customHeight="1" s="173">
      <c r="A180" s="208">
        <f>B180&amp;"-"&amp;C180</f>
        <v/>
      </c>
      <c r="B180" s="344" t="inlineStr">
        <is>
          <t>V Bis - Recepción recursos desarrollo inmobiliario</t>
        </is>
      </c>
      <c r="C180" s="345" t="n">
        <v>25</v>
      </c>
      <c r="D180" s="208" t="inlineStr">
        <is>
          <t>Canales e instrumentos idóneos para el financiamiento al terrorismo</t>
        </is>
      </c>
      <c r="E180" s="208" t="inlineStr">
        <is>
          <t>La operación se realiza mediante captación en línea de aportantes múltiples sin identificación reforzada, es decir, medios que permiten mover valor en montos pequeños sin identificar al destinatario final.</t>
        </is>
      </c>
      <c r="F180" s="208" t="inlineStr">
        <is>
          <t>Canal mixto o con verificación parcial: hay registro de la operación pero la trazabilidad del destinatario final es incompleta.</t>
        </is>
      </c>
      <c r="G180" s="208" t="inlineStr">
        <is>
          <t>Aportaciones recibidas por transferencia de cuentas a nombre del propio aportante identificado, con trazabilidad completa del origen y del destinatario.</t>
        </is>
      </c>
    </row>
    <row r="181" ht="18.75" customHeight="1" s="173">
      <c r="A181" s="208">
        <f>B181&amp;"-"&amp;C181</f>
        <v/>
      </c>
      <c r="B181" s="344" t="inlineStr">
        <is>
          <t>VI - Piedras y metales preciosos, joyas</t>
        </is>
      </c>
      <c r="C181" s="345" t="n">
        <v>1</v>
      </c>
      <c r="D181" s="208" t="inlineStr">
        <is>
          <t>Valor del producto o servicio</t>
        </is>
      </c>
      <c r="E181" s="208" t="inlineStr">
        <is>
          <t>Piezas de alto valor unitario: metales, gemas y joyería fina.</t>
        </is>
      </c>
      <c r="F181" s="208" t="inlineStr">
        <is>
          <t>Joyería de valor medio o piezas con gemas semipreciosas.</t>
        </is>
      </c>
      <c r="G181" s="208" t="inlineStr">
        <is>
          <t>Bisutería o piezas de bajo valor unitario.</t>
        </is>
      </c>
    </row>
    <row r="182" ht="18.75" customHeight="1" s="173">
      <c r="A182" s="208">
        <f>B182&amp;"-"&amp;C182</f>
        <v/>
      </c>
      <c r="B182" s="344" t="inlineStr">
        <is>
          <t>VI - Piedras y metales preciosos, joyas</t>
        </is>
      </c>
      <c r="C182" s="345" t="n">
        <v>2</v>
      </c>
      <c r="D182" s="208" t="inlineStr">
        <is>
          <t>Liquidez / convertibilidad</t>
        </is>
      </c>
      <c r="E182" s="208" t="inlineStr">
        <is>
          <t>Bien de altísima liquidez, fácil de revender o fundir a efectivo.</t>
        </is>
      </c>
      <c r="F182" s="208" t="inlineStr">
        <is>
          <t>Revendible con cierta pérdida de valor y trazabilidad parcial.</t>
        </is>
      </c>
      <c r="G182" s="208" t="inlineStr">
        <is>
          <t>Baja reventa y mercado limitado.</t>
        </is>
      </c>
    </row>
    <row r="183" ht="18.75" customHeight="1" s="173">
      <c r="A183" s="208">
        <f>B183&amp;"-"&amp;C183</f>
        <v/>
      </c>
      <c r="B183" s="344" t="inlineStr">
        <is>
          <t>VI - Piedras y metales preciosos, joyas</t>
        </is>
      </c>
      <c r="C183" s="345" t="n">
        <v>3</v>
      </c>
      <c r="D183" s="208" t="inlineStr">
        <is>
          <t>Anonimato / identificación del beneficiario</t>
        </is>
      </c>
      <c r="E183" s="208" t="inlineStr">
        <is>
          <t>Venta al portador sin identificar al beneficiario final.</t>
        </is>
      </c>
      <c r="F183" s="208" t="inlineStr">
        <is>
          <t>Identificación básica sin verificar al beneficiario final.</t>
        </is>
      </c>
      <c r="G183" s="208" t="inlineStr">
        <is>
          <t>Beneficiario final plenamente identificado y verificado.</t>
        </is>
      </c>
    </row>
    <row r="184" ht="18.75" customHeight="1" s="173">
      <c r="A184" s="208">
        <f>B184&amp;"-"&amp;C184</f>
        <v/>
      </c>
      <c r="B184" s="344" t="inlineStr">
        <is>
          <t>VI - Piedras y metales preciosos, joyas</t>
        </is>
      </c>
      <c r="C184" s="345" t="n">
        <v>4</v>
      </c>
      <c r="D184" s="208" t="inlineStr">
        <is>
          <t>Transferencia u ocultamiento de valor</t>
        </is>
      </c>
      <c r="E184" s="208" t="inlineStr">
        <is>
          <t>Portabilidad extrema que permite mover y ocultar valor con facilidad.</t>
        </is>
      </c>
      <c r="F184" s="208" t="inlineStr">
        <is>
          <t>Facilita ocultamiento parcial de valor con esfuerzo moderado.</t>
        </is>
      </c>
      <c r="G184" s="208" t="inlineStr">
        <is>
          <t>Trazabilidad documental que dificulta el ocultamiento de valor.</t>
        </is>
      </c>
    </row>
    <row r="185" ht="18.75" customHeight="1" s="173">
      <c r="A185" s="208">
        <f>B185&amp;"-"&amp;C185</f>
        <v/>
      </c>
      <c r="B185" s="344" t="inlineStr">
        <is>
          <t>VI - Piedras y metales preciosos, joyas</t>
        </is>
      </c>
      <c r="C185" s="345" t="n">
        <v>5</v>
      </c>
      <c r="D185" s="208" t="inlineStr">
        <is>
          <t>Exposición del acto u operación al financiamiento al terrorismo</t>
        </is>
      </c>
      <c r="E185" s="208" t="inlineStr">
        <is>
          <t>Compra de metales o piedras como reserva de valor fácilmente transportable a favor de personas o redes señaladas en listas de sanciones, o con destino a zonas en conflicto.</t>
        </is>
      </c>
      <c r="F185" s="208" t="inlineStr">
        <is>
          <t>Compras recurrentes de alto valor con traslado al extranjero, sin coincidencias en listas pero sin justificación comercial.</t>
        </is>
      </c>
      <c r="G185" s="208" t="inlineStr">
        <is>
          <t>Compra ocasional, de uso personal, con comprador identificado y pago bancarizado.</t>
        </is>
      </c>
    </row>
    <row r="186" ht="18.75" customHeight="1" s="173">
      <c r="A186" s="208">
        <f>B186&amp;"-"&amp;C186</f>
        <v/>
      </c>
      <c r="B186" s="344" t="inlineStr">
        <is>
          <t>VI - Piedras y metales preciosos, joyas</t>
        </is>
      </c>
      <c r="C186" s="345" t="n">
        <v>6</v>
      </c>
      <c r="D186" s="208" t="inlineStr">
        <is>
          <t>Tipo de persona y estructura</t>
        </is>
      </c>
      <c r="E186" s="208" t="inlineStr">
        <is>
          <t>Persona moral extranjera, fideicomiso o estructura opaca.</t>
        </is>
      </c>
      <c r="F186" s="208" t="inlineStr">
        <is>
          <t>Persona moral nacional con estructura de control simple.</t>
        </is>
      </c>
      <c r="G186" s="208" t="inlineStr">
        <is>
          <t>Persona física identificada o empresa con estructura transparente.</t>
        </is>
      </c>
    </row>
    <row r="187" ht="18.75" customHeight="1" s="173">
      <c r="A187" s="208">
        <f>B187&amp;"-"&amp;C187</f>
        <v/>
      </c>
      <c r="B187" s="344" t="inlineStr">
        <is>
          <t>VI - Piedras y metales preciosos, joyas</t>
        </is>
      </c>
      <c r="C187" s="345" t="n">
        <v>7</v>
      </c>
      <c r="D187" s="208" t="inlineStr">
        <is>
          <t>Edad / fecha de constitución</t>
        </is>
      </c>
      <c r="E187" s="208" t="inlineStr">
        <is>
          <t>Persona física muy joven atípica o empresa de reciente creación.</t>
        </is>
      </c>
      <c r="F187" s="208" t="inlineStr">
        <is>
          <t>Antigüedad intermedia sin historial consolidado.</t>
        </is>
      </c>
      <c r="G187" s="208" t="inlineStr">
        <is>
          <t>Persona o empresa con trayectoria y antigüedad acreditada.</t>
        </is>
      </c>
    </row>
    <row r="188" ht="18.75" customHeight="1" s="173">
      <c r="A188" s="208">
        <f>B188&amp;"-"&amp;C188</f>
        <v/>
      </c>
      <c r="B188" s="344" t="inlineStr">
        <is>
          <t>VI - Piedras y metales preciosos, joyas</t>
        </is>
      </c>
      <c r="C188" s="345" t="n">
        <v>8</v>
      </c>
      <c r="D188" s="208" t="inlineStr">
        <is>
          <t>Actividad económica o giro (y fuente de ingresos)</t>
        </is>
      </c>
      <c r="E188" s="208" t="inlineStr">
        <is>
          <t>Giro informal, uso intensivo de efectivo o mercados de segunda mano.</t>
        </is>
      </c>
      <c r="F188" s="208" t="inlineStr">
        <is>
          <t>Comercio formal con componente de efectivo relevante.</t>
        </is>
      </c>
      <c r="G188" s="208" t="inlineStr">
        <is>
          <t>Establecimiento formal con ingresos bancarizados y acreditados.</t>
        </is>
      </c>
    </row>
    <row r="189" ht="18.75" customHeight="1" s="173">
      <c r="A189" s="208">
        <f>B189&amp;"-"&amp;C189</f>
        <v/>
      </c>
      <c r="B189" s="344" t="inlineStr">
        <is>
          <t>VI - Piedras y metales preciosos, joyas</t>
        </is>
      </c>
      <c r="C189" s="345" t="n">
        <v>9</v>
      </c>
      <c r="D189" s="208" t="inlineStr">
        <is>
          <t>Nacionalidad del cliente</t>
        </is>
      </c>
      <c r="E189" s="208" t="inlineStr">
        <is>
          <t>Cliente de país en listas GAFI, sancionado o de régimen fiscal preferente.</t>
        </is>
      </c>
      <c r="F189" s="208" t="inlineStr">
        <is>
          <t>Cliente extranjero de país sin deficiencias estratégicas pero con controles PLD limitados.</t>
        </is>
      </c>
      <c r="G189" s="208" t="inlineStr">
        <is>
          <t>Cliente mexicano o de país cooperante con marco PLD/FT sólido.</t>
        </is>
      </c>
    </row>
    <row r="190" ht="18.75" customHeight="1" s="173">
      <c r="A190" s="208">
        <f>B190&amp;"-"&amp;C190</f>
        <v/>
      </c>
      <c r="B190" s="344" t="inlineStr">
        <is>
          <t>VI - Piedras y metales preciosos, joyas</t>
        </is>
      </c>
      <c r="C190" s="345" t="n">
        <v>10</v>
      </c>
      <c r="D190" s="208" t="inlineStr">
        <is>
          <t>País (y en su caso, estado) de residencia del cliente</t>
        </is>
      </c>
      <c r="E190" s="208" t="inlineStr">
        <is>
          <t>Residencia en jurisdicción de alto riesgo o domicilio no verificable.</t>
        </is>
      </c>
      <c r="F190" s="208" t="inlineStr">
        <is>
          <t>Residencia en entidad de riesgo intermedio o parcialmente verificable.</t>
        </is>
      </c>
      <c r="G190" s="208" t="inlineStr">
        <is>
          <t>Residencia nacional plenamente verificada y documentada.</t>
        </is>
      </c>
    </row>
    <row r="191" ht="18.75" customHeight="1" s="173">
      <c r="A191" s="208">
        <f>B191&amp;"-"&amp;C191</f>
        <v/>
      </c>
      <c r="B191" s="344" t="inlineStr">
        <is>
          <t>VI - Piedras y metales preciosos, joyas</t>
        </is>
      </c>
      <c r="C191" s="345" t="n">
        <v>11</v>
      </c>
      <c r="D191" s="208" t="inlineStr">
        <is>
          <t>Condición PEP</t>
        </is>
      </c>
      <c r="E191" s="208" t="inlineStr">
        <is>
          <t>PEP nacional o extranjera, o familiar/allegado de PEP.</t>
        </is>
      </c>
      <c r="F191" s="208" t="inlineStr">
        <is>
          <t>Vínculo indirecto o histórico con PEP, sin poder de decisión actual.</t>
        </is>
      </c>
      <c r="G191" s="208" t="inlineStr">
        <is>
          <t>Cliente sin condición PEP ni relación con personas expuestas.</t>
        </is>
      </c>
    </row>
    <row r="192" ht="18.75" customHeight="1" s="173">
      <c r="A192" s="208">
        <f>B192&amp;"-"&amp;C192</f>
        <v/>
      </c>
      <c r="B192" s="344" t="inlineStr">
        <is>
          <t>VI - Piedras y metales preciosos, joyas</t>
        </is>
      </c>
      <c r="C192" s="345" t="n">
        <v>12</v>
      </c>
      <c r="D192" s="208" t="inlineStr">
        <is>
          <t>Coincidencia en listas de personas bloqueadas o de sanciones</t>
        </is>
      </c>
      <c r="E192" s="208" t="inlineStr">
        <is>
          <t>El comprador, su beneficiario controlador, apoderado o contraparte aparece en la Lista de Personas Bloqueadas, en listas de sanciones o en listas de organizaciones terroristas, o presenta una coincidencia fuerte que no ha sido descartada.</t>
        </is>
      </c>
      <c r="F192" s="208" t="inlineStr">
        <is>
          <t>Se detecta coincidencia parcial u homonimia respecto del comprador o de alguna persona relacionada, y el descarte se encuentra en proceso con constancia documental.</t>
        </is>
      </c>
      <c r="G192" s="208" t="inlineStr">
        <is>
          <t>Búsqueda realizada y documentada sobre el comprador y sus personas relacionadas, sin coincidencias.</t>
        </is>
      </c>
    </row>
    <row r="193" ht="18.75" customHeight="1" s="173">
      <c r="A193" s="208">
        <f>B193&amp;"-"&amp;C193</f>
        <v/>
      </c>
      <c r="B193" s="344" t="inlineStr">
        <is>
          <t>VI - Piedras y metales preciosos, joyas</t>
        </is>
      </c>
      <c r="C193" s="345" t="n">
        <v>13</v>
      </c>
      <c r="D193" s="208" t="inlineStr">
        <is>
          <t>Identificación y complejidad del Beneficiario Controlador</t>
        </is>
      </c>
      <c r="E193" s="208" t="inlineStr">
        <is>
          <t>No se logra identificar al beneficiario controlador del comprador, o la estructura interpone dos o más niveles societarios, fiduciarios o vehículos constituidos en el extranjero para llegar al 25 por ciento.</t>
        </is>
      </c>
      <c r="F193" s="208" t="inlineStr">
        <is>
          <t>Beneficiario controlador identificado, pero a través de una estructura de más de un nivel o con participación indirecta que exigió reconstruir la cadena de control con documentos.</t>
        </is>
      </c>
      <c r="G193" s="208" t="inlineStr">
        <is>
          <t>Beneficiario controlador identificado de forma directa y documentada: persona física que posee al menos el 25 por ciento o que ejerce el control por otra vía acreditada.</t>
        </is>
      </c>
    </row>
    <row r="194" ht="18.75" customHeight="1" s="173">
      <c r="A194" s="208">
        <f>B194&amp;"-"&amp;C194</f>
        <v/>
      </c>
      <c r="B194" s="344" t="inlineStr">
        <is>
          <t>VI - Piedras y metales preciosos, joyas</t>
        </is>
      </c>
      <c r="C194" s="345" t="n">
        <v>14</v>
      </c>
      <c r="D194" s="208" t="inlineStr">
        <is>
          <t>País / jurisdicción donde se realiza la operación</t>
        </is>
      </c>
      <c r="E194" s="208" t="inlineStr">
        <is>
          <t>Operación realizada con o desde jurisdicción de alto riesgo.</t>
        </is>
      </c>
      <c r="F194" s="208" t="inlineStr">
        <is>
          <t>Operación con contraparte en jurisdicción de riesgo intermedio.</t>
        </is>
      </c>
      <c r="G194" s="208" t="inlineStr">
        <is>
          <t>Operación nacional o con jurisdicción cooperante y transparente.</t>
        </is>
      </c>
    </row>
    <row r="195" ht="18.75" customHeight="1" s="173">
      <c r="A195" s="208">
        <f>B195&amp;"-"&amp;C195</f>
        <v/>
      </c>
      <c r="B195" s="344" t="inlineStr">
        <is>
          <t>VI - Piedras y metales preciosos, joyas</t>
        </is>
      </c>
      <c r="C195" s="345" t="n">
        <v>15</v>
      </c>
      <c r="D195" s="208" t="inlineStr">
        <is>
          <t>Área geográfica nacional de la operación</t>
        </is>
      </c>
      <c r="E195" s="208" t="inlineStr">
        <is>
          <t>Zona de alta incidencia delictiva, marginación o franja fronteriza.</t>
        </is>
      </c>
      <c r="F195" s="208" t="inlineStr">
        <is>
          <t>Zona urbana de riesgo intermedio sin alertas relevantes.</t>
        </is>
      </c>
      <c r="G195" s="208" t="inlineStr">
        <is>
          <t>Zona de baja incidencia con presencia institucional.</t>
        </is>
      </c>
    </row>
    <row r="196" ht="18.75" customHeight="1" s="173">
      <c r="A196" s="208">
        <f>B196&amp;"-"&amp;C196</f>
        <v/>
      </c>
      <c r="B196" s="344" t="inlineStr">
        <is>
          <t>VI - Piedras y metales preciosos, joyas</t>
        </is>
      </c>
      <c r="C196" s="345" t="n">
        <v>16</v>
      </c>
      <c r="D196" s="208" t="inlineStr">
        <is>
          <t>Vínculo con jurisdicciones sancionadas, en conflicto o de acción requerida por el GAFI</t>
        </is>
      </c>
      <c r="E196" s="208" t="inlineStr">
        <is>
          <t>Existe exposición a jurisdicciones sancionadas, en conflicto armado o de acción requerida del GAFI, por la vía de traslado físico de la mercancía al extranjero.</t>
        </is>
      </c>
      <c r="F196" s="208" t="inlineStr">
        <is>
          <t>Vínculo con jurisdicciones bajo monitoreo intensificado del GAFI o con deficiencias señaladas en la ENR, sin estar sancionadas ni en conflicto.</t>
        </is>
      </c>
      <c r="G196" s="208" t="inlineStr">
        <is>
          <t>Sin vínculo con jurisdicciones sancionadas, en conflicto o listadas por el GAFI; la operación y sus partes se ubican en plazas sin señalamientos.</t>
        </is>
      </c>
    </row>
    <row r="197" ht="18.75" customHeight="1" s="173">
      <c r="A197" s="208">
        <f>B197&amp;"-"&amp;C197</f>
        <v/>
      </c>
      <c r="B197" s="344" t="inlineStr">
        <is>
          <t>VI - Piedras y metales preciosos, joyas</t>
        </is>
      </c>
      <c r="C197" s="345" t="n">
        <v>17</v>
      </c>
      <c r="D197" s="208" t="inlineStr">
        <is>
          <t>Congruencia entre el domicilio del Cliente y el lugar de la operación</t>
        </is>
      </c>
      <c r="E197" s="208" t="inlineStr">
        <is>
          <t>El domicilio del comprador no guarda relación económica ni logística con el lugar donde se realiza la compraventa de la joya o el metal precioso, y no existe explicación documentada del desplazamiento.</t>
        </is>
      </c>
      <c r="F197" s="208" t="inlineStr">
        <is>
          <t>Existe distancia relevante entre el domicilio del comprador y el lugar de la operación, con explicación plausible pero no soportada en el expediente.</t>
        </is>
      </c>
      <c r="G197" s="208" t="inlineStr">
        <is>
          <t>El domicilio del comprador corresponde a la plaza donde se realiza la compraventa de la joya o el metal precioso, o el desplazamiento está justificado y documentado.</t>
        </is>
      </c>
    </row>
    <row r="198" ht="18.75" customHeight="1" s="173">
      <c r="A198" s="208">
        <f>B198&amp;"-"&amp;C198</f>
        <v/>
      </c>
      <c r="B198" s="344" t="inlineStr">
        <is>
          <t>VI - Piedras y metales preciosos, joyas</t>
        </is>
      </c>
      <c r="C198" s="345" t="n">
        <v>18</v>
      </c>
      <c r="D198" s="208" t="inlineStr">
        <is>
          <t>Instrumento monetario</t>
        </is>
      </c>
      <c r="E198" s="208" t="inlineStr">
        <is>
          <t>Pago en efectivo o instrumentos al portador.</t>
        </is>
      </c>
      <c r="F198" s="208" t="inlineStr">
        <is>
          <t>Pago mixto: efectivo combinado con transferencia.</t>
        </is>
      </c>
      <c r="G198" s="208" t="inlineStr">
        <is>
          <t>Pago íntegro a través del sistema financiero.</t>
        </is>
      </c>
    </row>
    <row r="199" ht="18.75" customHeight="1" s="173">
      <c r="A199" s="208">
        <f>B199&amp;"-"&amp;C199</f>
        <v/>
      </c>
      <c r="B199" s="344" t="inlineStr">
        <is>
          <t>VI - Piedras y metales preciosos, joyas</t>
        </is>
      </c>
      <c r="C199" s="345" t="n">
        <v>19</v>
      </c>
      <c r="D199" s="208" t="inlineStr">
        <is>
          <t>Tipo de moneda</t>
        </is>
      </c>
      <c r="E199" s="208" t="inlineStr">
        <is>
          <t>Operación en moneda extranjera distinta al USD o en criptomonedas.</t>
        </is>
      </c>
      <c r="F199" s="208" t="inlineStr">
        <is>
          <t>Operación pactada en dólares estadounidenses (USD).</t>
        </is>
      </c>
      <c r="G199" s="208" t="inlineStr">
        <is>
          <t>Operación pactada y liquidada en pesos mexicanos.</t>
        </is>
      </c>
    </row>
    <row r="200" ht="18.75" customHeight="1" s="173">
      <c r="A200" s="208">
        <f>B200&amp;"-"&amp;C200</f>
        <v/>
      </c>
      <c r="B200" s="344" t="inlineStr">
        <is>
          <t>VI - Piedras y metales preciosos, joyas</t>
        </is>
      </c>
      <c r="C200" s="345" t="n">
        <v>20</v>
      </c>
      <c r="D200" s="208" t="inlineStr">
        <is>
          <t>Monto frente a umbrales LFPIORPI</t>
        </is>
      </c>
      <c r="E200" s="208" t="inlineStr">
        <is>
          <t>Monto que supera el umbral de aviso de 1,605 UMA.</t>
        </is>
      </c>
      <c r="F200" s="208" t="inlineStr">
        <is>
          <t>Monto cercano al umbral de 1,605 UMA sin superarlo.</t>
        </is>
      </c>
      <c r="G200" s="208" t="inlineStr">
        <is>
          <t>Monto muy por debajo del umbral de 1,605 UMA.</t>
        </is>
      </c>
    </row>
    <row r="201" ht="18.75" customHeight="1" s="173">
      <c r="A201" s="208">
        <f>B201&amp;"-"&amp;C201</f>
        <v/>
      </c>
      <c r="B201" s="344" t="inlineStr">
        <is>
          <t>VI - Piedras y metales preciosos, joyas</t>
        </is>
      </c>
      <c r="C201" s="345" t="n">
        <v>21</v>
      </c>
      <c r="D201" s="208" t="inlineStr">
        <is>
          <t>Frecuencia (fraccionamiento)</t>
        </is>
      </c>
      <c r="E201" s="208" t="inlineStr">
        <is>
          <t>Operaciones frecuentes o fraccionadas para eludir el umbral.</t>
        </is>
      </c>
      <c r="F201" s="208" t="inlineStr">
        <is>
          <t>Recurrencia moderada sin patrón claro de fraccionamiento.</t>
        </is>
      </c>
      <c r="G201" s="208" t="inlineStr">
        <is>
          <t>Operación aislada y consistente con el perfil del cliente.</t>
        </is>
      </c>
    </row>
    <row r="202" ht="18.75" customHeight="1" s="173">
      <c r="A202" s="208">
        <f>B202&amp;"-"&amp;C202</f>
        <v/>
      </c>
      <c r="B202" s="344" t="inlineStr">
        <is>
          <t>VI - Piedras y metales preciosos, joyas</t>
        </is>
      </c>
      <c r="C202" s="345" t="n">
        <v>22</v>
      </c>
      <c r="D202" s="208" t="inlineStr">
        <is>
          <t>Canal (presencial / no presencial / terceros)</t>
        </is>
      </c>
      <c r="E202" s="208" t="inlineStr">
        <is>
          <t>Operación no presencial o a través de terceros sin contacto directo.</t>
        </is>
      </c>
      <c r="F202" s="208" t="inlineStr">
        <is>
          <t>Operación presencial con intermediación parcial de un tercero.</t>
        </is>
      </c>
      <c r="G202" s="208" t="inlineStr">
        <is>
          <t>Operación presencial directa con el cliente plenamente identificado.</t>
        </is>
      </c>
    </row>
    <row r="203" ht="18.75" customHeight="1" s="173">
      <c r="A203" s="208">
        <f>B203&amp;"-"&amp;C203</f>
        <v/>
      </c>
      <c r="B203" s="344" t="inlineStr">
        <is>
          <t>VI - Piedras y metales preciosos, joyas</t>
        </is>
      </c>
      <c r="C203" s="345" t="n">
        <v>23</v>
      </c>
      <c r="D203" s="208" t="inlineStr">
        <is>
          <t>Origen de los recursos</t>
        </is>
      </c>
      <c r="E203" s="208" t="inlineStr">
        <is>
          <t>Recursos de origen no acreditable, en efectivo o informal.</t>
        </is>
      </c>
      <c r="F203" s="208" t="inlineStr">
        <is>
          <t>Origen de recursos parcialmente documentado.</t>
        </is>
      </c>
      <c r="G203" s="208" t="inlineStr">
        <is>
          <t>Origen lícito plenamente acreditado y bancarizado.</t>
        </is>
      </c>
    </row>
    <row r="204" ht="18.75" customHeight="1" s="173">
      <c r="A204" s="208">
        <f>B204&amp;"-"&amp;C204</f>
        <v/>
      </c>
      <c r="B204" s="344" t="inlineStr">
        <is>
          <t>VI - Piedras y metales preciosos, joyas</t>
        </is>
      </c>
      <c r="C204" s="345" t="n">
        <v>24</v>
      </c>
      <c r="D204" s="208" t="inlineStr">
        <is>
          <t>Destino de los recursos</t>
        </is>
      </c>
      <c r="E204" s="208" t="inlineStr">
        <is>
          <t>Destino opaco, a terceros o al exterior sin justificación.</t>
        </is>
      </c>
      <c r="F204" s="208" t="inlineStr">
        <is>
          <t>Destino de recursos parcialmente justificado.</t>
        </is>
      </c>
      <c r="G204" s="208" t="inlineStr">
        <is>
          <t>Destino claro, documentado y congruente con la operación.</t>
        </is>
      </c>
    </row>
    <row r="205" ht="18.75" customHeight="1" s="173">
      <c r="A205" s="208">
        <f>B205&amp;"-"&amp;C205</f>
        <v/>
      </c>
      <c r="B205" s="344" t="inlineStr">
        <is>
          <t>VI - Piedras y metales preciosos, joyas</t>
        </is>
      </c>
      <c r="C205" s="345" t="n">
        <v>25</v>
      </c>
      <c r="D205" s="208" t="inlineStr">
        <is>
          <t>Canales e instrumentos idóneos para el financiamiento al terrorismo</t>
        </is>
      </c>
      <c r="E205" s="208" t="inlineStr">
        <is>
          <t>La operación se realiza mediante venta en efectivo, entrega a terceros y traslado transfronterizo del bien, es decir, medios que permiten mover valor en montos pequeños sin identificar al destinatario final.</t>
        </is>
      </c>
      <c r="F205" s="208" t="inlineStr">
        <is>
          <t>Canal mixto o con verificación parcial: hay registro de la operación pero la trazabilidad del destinatario final es incompleta.</t>
        </is>
      </c>
      <c r="G205" s="208" t="inlineStr">
        <is>
          <t>Venta con comprador identificado, pago bancarizado y entrega documentada al propio comprador, con trazabilidad completa del origen y del destinatario.</t>
        </is>
      </c>
    </row>
    <row r="206" ht="18.75" customHeight="1" s="173">
      <c r="A206" s="208">
        <f>B206&amp;"-"&amp;C206</f>
        <v/>
      </c>
      <c r="B206" s="344" t="inlineStr">
        <is>
          <t>VII - Subasta/comercialización obras de arte</t>
        </is>
      </c>
      <c r="C206" s="345" t="n">
        <v>1</v>
      </c>
      <c r="D206" s="208" t="inlineStr">
        <is>
          <t>Valor del producto o servicio</t>
        </is>
      </c>
      <c r="E206" s="208" t="inlineStr">
        <is>
          <t>Obras de alto valor con tasación subjetiva y sin referencia de mercado.</t>
        </is>
      </c>
      <c r="F206" s="208" t="inlineStr">
        <is>
          <t>Obras de valor intermedio de artistas con mercado establecido.</t>
        </is>
      </c>
      <c r="G206" s="208" t="inlineStr">
        <is>
          <t>Arte contemporáneo o decorativo de bajo valor unitario.</t>
        </is>
      </c>
    </row>
    <row r="207" ht="18.75" customHeight="1" s="173">
      <c r="A207" s="208">
        <f>B207&amp;"-"&amp;C207</f>
        <v/>
      </c>
      <c r="B207" s="344" t="inlineStr">
        <is>
          <t>VII - Subasta/comercialización obras de arte</t>
        </is>
      </c>
      <c r="C207" s="345" t="n">
        <v>2</v>
      </c>
      <c r="D207" s="208" t="inlineStr">
        <is>
          <t>Liquidez / convertibilidad</t>
        </is>
      </c>
      <c r="E207" s="208" t="inlineStr">
        <is>
          <t>Pieza fácilmente revendible en mercado internacional opaco.</t>
        </is>
      </c>
      <c r="F207" s="208" t="inlineStr">
        <is>
          <t>Reventa posible pero con menor liquidez y trazabilidad.</t>
        </is>
      </c>
      <c r="G207" s="208" t="inlineStr">
        <is>
          <t>Baja reventa; obra de circulación local limitada.</t>
        </is>
      </c>
    </row>
    <row r="208" ht="18.75" customHeight="1" s="173">
      <c r="A208" s="208">
        <f>B208&amp;"-"&amp;C208</f>
        <v/>
      </c>
      <c r="B208" s="344" t="inlineStr">
        <is>
          <t>VII - Subasta/comercialización obras de arte</t>
        </is>
      </c>
      <c r="C208" s="345" t="n">
        <v>3</v>
      </c>
      <c r="D208" s="208" t="inlineStr">
        <is>
          <t>Anonimato / identificación del beneficiario</t>
        </is>
      </c>
      <c r="E208" s="208" t="inlineStr">
        <is>
          <t>Compra a través de intermediarios que ocultan al beneficiario final.</t>
        </is>
      </c>
      <c r="F208" s="208" t="inlineStr">
        <is>
          <t>Identificación básica sin verificar al beneficiario final.</t>
        </is>
      </c>
      <c r="G208" s="208" t="inlineStr">
        <is>
          <t>Comprador y beneficiario final plenamente identificados.</t>
        </is>
      </c>
    </row>
    <row r="209" ht="18.75" customHeight="1" s="173">
      <c r="A209" s="208">
        <f>B209&amp;"-"&amp;C209</f>
        <v/>
      </c>
      <c r="B209" s="344" t="inlineStr">
        <is>
          <t>VII - Subasta/comercialización obras de arte</t>
        </is>
      </c>
      <c r="C209" s="345" t="n">
        <v>4</v>
      </c>
      <c r="D209" s="208" t="inlineStr">
        <is>
          <t>Transferencia u ocultamiento de valor</t>
        </is>
      </c>
      <c r="E209" s="208" t="inlineStr">
        <is>
          <t>Sobre o subvaluación permite justificar o mover valor ilícito.</t>
        </is>
      </c>
      <c r="F209" s="208" t="inlineStr">
        <is>
          <t>Margen de valuación que facilita ajustes de valor moderados.</t>
        </is>
      </c>
      <c r="G209" s="208" t="inlineStr">
        <is>
          <t>Valuación soportada y trazable que dificulta el ocultamiento.</t>
        </is>
      </c>
    </row>
    <row r="210" ht="18.75" customHeight="1" s="173">
      <c r="A210" s="208">
        <f>B210&amp;"-"&amp;C210</f>
        <v/>
      </c>
      <c r="B210" s="344" t="inlineStr">
        <is>
          <t>VII - Subasta/comercialización obras de arte</t>
        </is>
      </c>
      <c r="C210" s="345" t="n">
        <v>5</v>
      </c>
      <c r="D210" s="208" t="inlineStr">
        <is>
          <t>Exposición del acto u operación al financiamiento al terrorismo</t>
        </is>
      </c>
      <c r="E210" s="208" t="inlineStr">
        <is>
          <t>Uso de la obra como instrumento de alto valor y fácil traslado para transferir recursos a favor de personas señaladas en listas o hacia zonas en conflicto.</t>
        </is>
      </c>
      <c r="F210" s="208" t="inlineStr">
        <is>
          <t>Compradores o consignantes del extranjero con estructura opaca, sin coincidencias en listas.</t>
        </is>
      </c>
      <c r="G210" s="208" t="inlineStr">
        <is>
          <t>Partes identificadas, procedencia documentada de la pieza y pago bancarizado.</t>
        </is>
      </c>
    </row>
    <row r="211" ht="18.75" customHeight="1" s="173">
      <c r="A211" s="208">
        <f>B211&amp;"-"&amp;C211</f>
        <v/>
      </c>
      <c r="B211" s="344" t="inlineStr">
        <is>
          <t>VII - Subasta/comercialización obras de arte</t>
        </is>
      </c>
      <c r="C211" s="345" t="n">
        <v>6</v>
      </c>
      <c r="D211" s="208" t="inlineStr">
        <is>
          <t>Tipo de persona y estructura</t>
        </is>
      </c>
      <c r="E211" s="208" t="inlineStr">
        <is>
          <t>Persona moral extranjera, fideicomiso o coleccionista anónimo.</t>
        </is>
      </c>
      <c r="F211" s="208" t="inlineStr">
        <is>
          <t>Persona moral nacional o galería con estructura simple.</t>
        </is>
      </c>
      <c r="G211" s="208" t="inlineStr">
        <is>
          <t>Persona física identificada o institución transparente.</t>
        </is>
      </c>
    </row>
    <row r="212" ht="18.75" customHeight="1" s="173">
      <c r="A212" s="208">
        <f>B212&amp;"-"&amp;C212</f>
        <v/>
      </c>
      <c r="B212" s="344" t="inlineStr">
        <is>
          <t>VII - Subasta/comercialización obras de arte</t>
        </is>
      </c>
      <c r="C212" s="345" t="n">
        <v>7</v>
      </c>
      <c r="D212" s="208" t="inlineStr">
        <is>
          <t>Edad / fecha de constitución</t>
        </is>
      </c>
      <c r="E212" s="208" t="inlineStr">
        <is>
          <t>Comprador muy joven atípico o entidad de reciente creación.</t>
        </is>
      </c>
      <c r="F212" s="208" t="inlineStr">
        <is>
          <t>Antigüedad intermedia sin historial de colección consolidado.</t>
        </is>
      </c>
      <c r="G212" s="208" t="inlineStr">
        <is>
          <t>Coleccionista o casa con trayectoria y antigüedad acreditada.</t>
        </is>
      </c>
    </row>
    <row r="213" ht="18.75" customHeight="1" s="173">
      <c r="A213" s="208">
        <f>B213&amp;"-"&amp;C213</f>
        <v/>
      </c>
      <c r="B213" s="344" t="inlineStr">
        <is>
          <t>VII - Subasta/comercialización obras de arte</t>
        </is>
      </c>
      <c r="C213" s="345" t="n">
        <v>8</v>
      </c>
      <c r="D213" s="208" t="inlineStr">
        <is>
          <t>Actividad económica o giro (y fuente de ingresos)</t>
        </is>
      </c>
      <c r="E213" s="208" t="inlineStr">
        <is>
          <t>Giro sin sustancia económica o uso del arte como reserva de valor.</t>
        </is>
      </c>
      <c r="F213" s="208" t="inlineStr">
        <is>
          <t>Actividad formal con ingresos parcialmente acreditados.</t>
        </is>
      </c>
      <c r="G213" s="208" t="inlineStr">
        <is>
          <t>Galería o casa de subastas formal con ingresos bancarizados.</t>
        </is>
      </c>
    </row>
    <row r="214" ht="18.75" customHeight="1" s="173">
      <c r="A214" s="208">
        <f>B214&amp;"-"&amp;C214</f>
        <v/>
      </c>
      <c r="B214" s="344" t="inlineStr">
        <is>
          <t>VII - Subasta/comercialización obras de arte</t>
        </is>
      </c>
      <c r="C214" s="345" t="n">
        <v>9</v>
      </c>
      <c r="D214" s="208" t="inlineStr">
        <is>
          <t>Nacionalidad del cliente</t>
        </is>
      </c>
      <c r="E214" s="208" t="inlineStr">
        <is>
          <t>Cliente de país en listas GAFI, sancionado o de régimen fiscal preferente.</t>
        </is>
      </c>
      <c r="F214" s="208" t="inlineStr">
        <is>
          <t>Cliente extranjero de país sin deficiencias estratégicas pero con controles PLD limitados.</t>
        </is>
      </c>
      <c r="G214" s="208" t="inlineStr">
        <is>
          <t>Cliente mexicano o de país cooperante con marco PLD/FT sólido.</t>
        </is>
      </c>
    </row>
    <row r="215" ht="18.75" customHeight="1" s="173">
      <c r="A215" s="208">
        <f>B215&amp;"-"&amp;C215</f>
        <v/>
      </c>
      <c r="B215" s="344" t="inlineStr">
        <is>
          <t>VII - Subasta/comercialización obras de arte</t>
        </is>
      </c>
      <c r="C215" s="345" t="n">
        <v>10</v>
      </c>
      <c r="D215" s="208" t="inlineStr">
        <is>
          <t>País (y en su caso, estado) de residencia del cliente</t>
        </is>
      </c>
      <c r="E215" s="208" t="inlineStr">
        <is>
          <t>Residencia en jurisdicción de alto riesgo o domicilio no verificable.</t>
        </is>
      </c>
      <c r="F215" s="208" t="inlineStr">
        <is>
          <t>Residencia en entidad de riesgo intermedio o parcialmente verificable.</t>
        </is>
      </c>
      <c r="G215" s="208" t="inlineStr">
        <is>
          <t>Residencia nacional plenamente verificada y documentada.</t>
        </is>
      </c>
    </row>
    <row r="216" ht="18.75" customHeight="1" s="173">
      <c r="A216" s="208">
        <f>B216&amp;"-"&amp;C216</f>
        <v/>
      </c>
      <c r="B216" s="344" t="inlineStr">
        <is>
          <t>VII - Subasta/comercialización obras de arte</t>
        </is>
      </c>
      <c r="C216" s="345" t="n">
        <v>11</v>
      </c>
      <c r="D216" s="208" t="inlineStr">
        <is>
          <t>Condición PEP</t>
        </is>
      </c>
      <c r="E216" s="208" t="inlineStr">
        <is>
          <t>PEP nacional o extranjera, o familiar/allegado de PEP.</t>
        </is>
      </c>
      <c r="F216" s="208" t="inlineStr">
        <is>
          <t>Vínculo indirecto o histórico con PEP, sin poder de decisión actual.</t>
        </is>
      </c>
      <c r="G216" s="208" t="inlineStr">
        <is>
          <t>Cliente sin condición PEP ni relación con personas expuestas.</t>
        </is>
      </c>
    </row>
    <row r="217" ht="18.75" customHeight="1" s="173">
      <c r="A217" s="208">
        <f>B217&amp;"-"&amp;C217</f>
        <v/>
      </c>
      <c r="B217" s="344" t="inlineStr">
        <is>
          <t>VII - Subasta/comercialización obras de arte</t>
        </is>
      </c>
      <c r="C217" s="345" t="n">
        <v>12</v>
      </c>
      <c r="D217" s="208" t="inlineStr">
        <is>
          <t>Coincidencia en listas de personas bloqueadas o de sanciones</t>
        </is>
      </c>
      <c r="E217" s="208" t="inlineStr">
        <is>
          <t>El comprador o consignante, su beneficiario controlador, apoderado o contraparte aparece en la Lista de Personas Bloqueadas, en listas de sanciones o en listas de organizaciones terroristas, o presenta una coincidencia fuerte que no ha sido descartada.</t>
        </is>
      </c>
      <c r="F217" s="208" t="inlineStr">
        <is>
          <t>Se detecta coincidencia parcial u homonimia respecto del comprador o consignante o de alguna persona relacionada, y el descarte se encuentra en proceso con constancia documental.</t>
        </is>
      </c>
      <c r="G217" s="208" t="inlineStr">
        <is>
          <t>Búsqueda realizada y documentada sobre el comprador o consignante y sus personas relacionadas, sin coincidencias.</t>
        </is>
      </c>
    </row>
    <row r="218" ht="18.75" customHeight="1" s="173">
      <c r="A218" s="208">
        <f>B218&amp;"-"&amp;C218</f>
        <v/>
      </c>
      <c r="B218" s="344" t="inlineStr">
        <is>
          <t>VII - Subasta/comercialización obras de arte</t>
        </is>
      </c>
      <c r="C218" s="345" t="n">
        <v>13</v>
      </c>
      <c r="D218" s="208" t="inlineStr">
        <is>
          <t>Identificación y complejidad del Beneficiario Controlador</t>
        </is>
      </c>
      <c r="E218" s="208" t="inlineStr">
        <is>
          <t>No se logra identificar al beneficiario controlador del comprador o consignante, o la estructura interpone dos o más niveles societarios, fiduciarios o vehículos constituidos en el extranjero para llegar al 25 por ciento.</t>
        </is>
      </c>
      <c r="F218" s="208" t="inlineStr">
        <is>
          <t>Beneficiario controlador identificado, pero a través de una estructura de más de un nivel o con participación indirecta que exigió reconstruir la cadena de control con documentos.</t>
        </is>
      </c>
      <c r="G218" s="208" t="inlineStr">
        <is>
          <t>Beneficiario controlador identificado de forma directa y documentada: persona física que posee al menos el 25 por ciento o que ejerce el control por otra vía acreditada.</t>
        </is>
      </c>
    </row>
    <row r="219" ht="18.75" customHeight="1" s="173">
      <c r="A219" s="208">
        <f>B219&amp;"-"&amp;C219</f>
        <v/>
      </c>
      <c r="B219" s="344" t="inlineStr">
        <is>
          <t>VII - Subasta/comercialización obras de arte</t>
        </is>
      </c>
      <c r="C219" s="345" t="n">
        <v>14</v>
      </c>
      <c r="D219" s="208" t="inlineStr">
        <is>
          <t>País / jurisdicción donde se realiza la operación</t>
        </is>
      </c>
      <c r="E219" s="208" t="inlineStr">
        <is>
          <t>Operación realizada con o desde jurisdicción de alto riesgo.</t>
        </is>
      </c>
      <c r="F219" s="208" t="inlineStr">
        <is>
          <t>Operación con contraparte en jurisdicción de riesgo intermedio.</t>
        </is>
      </c>
      <c r="G219" s="208" t="inlineStr">
        <is>
          <t>Operación nacional o con jurisdicción cooperante y transparente.</t>
        </is>
      </c>
    </row>
    <row r="220" ht="18.75" customHeight="1" s="173">
      <c r="A220" s="208">
        <f>B220&amp;"-"&amp;C220</f>
        <v/>
      </c>
      <c r="B220" s="344" t="inlineStr">
        <is>
          <t>VII - Subasta/comercialización obras de arte</t>
        </is>
      </c>
      <c r="C220" s="345" t="n">
        <v>15</v>
      </c>
      <c r="D220" s="208" t="inlineStr">
        <is>
          <t>Área geográfica nacional de la operación</t>
        </is>
      </c>
      <c r="E220" s="208" t="inlineStr">
        <is>
          <t>Zona de alta incidencia delictiva, marginación o franja fronteriza.</t>
        </is>
      </c>
      <c r="F220" s="208" t="inlineStr">
        <is>
          <t>Zona urbana de riesgo intermedio sin alertas relevantes.</t>
        </is>
      </c>
      <c r="G220" s="208" t="inlineStr">
        <is>
          <t>Zona de baja incidencia con presencia institucional.</t>
        </is>
      </c>
    </row>
    <row r="221" ht="18.75" customHeight="1" s="173">
      <c r="A221" s="208">
        <f>B221&amp;"-"&amp;C221</f>
        <v/>
      </c>
      <c r="B221" s="344" t="inlineStr">
        <is>
          <t>VII - Subasta/comercialización obras de arte</t>
        </is>
      </c>
      <c r="C221" s="345" t="n">
        <v>16</v>
      </c>
      <c r="D221" s="208" t="inlineStr">
        <is>
          <t>Vínculo con jurisdicciones sancionadas, en conflicto o de acción requerida por el GAFI</t>
        </is>
      </c>
      <c r="E221" s="208" t="inlineStr">
        <is>
          <t>Existe exposición a jurisdicciones sancionadas, en conflicto armado o de acción requerida del GAFI, por la vía de consignantes o compradores del extranjero y traslado internacional de la pieza.</t>
        </is>
      </c>
      <c r="F221" s="208" t="inlineStr">
        <is>
          <t>Vínculo con jurisdicciones bajo monitoreo intensificado del GAFI o con deficiencias señaladas en la ENR, sin estar sancionadas ni en conflicto.</t>
        </is>
      </c>
      <c r="G221" s="208" t="inlineStr">
        <is>
          <t>Sin vínculo con jurisdicciones sancionadas, en conflicto o listadas por el GAFI; la operación y sus partes se ubican en plazas sin señalamientos.</t>
        </is>
      </c>
    </row>
    <row r="222" ht="18.75" customHeight="1" s="173">
      <c r="A222" s="208">
        <f>B222&amp;"-"&amp;C222</f>
        <v/>
      </c>
      <c r="B222" s="344" t="inlineStr">
        <is>
          <t>VII - Subasta/comercialización obras de arte</t>
        </is>
      </c>
      <c r="C222" s="345" t="n">
        <v>17</v>
      </c>
      <c r="D222" s="208" t="inlineStr">
        <is>
          <t>Congruencia entre el domicilio del Cliente y el lugar de la operación</t>
        </is>
      </c>
      <c r="E222" s="208" t="inlineStr">
        <is>
          <t>El domicilio del comprador o consignante no guarda relación económica ni logística con el lugar donde se realiza la subasta o la compraventa de la obra, y no existe explicación documentada del desplazamiento.</t>
        </is>
      </c>
      <c r="F222" s="208" t="inlineStr">
        <is>
          <t>Existe distancia relevante entre el domicilio del comprador o consignante y el lugar de la operación, con explicación plausible pero no soportada en el expediente.</t>
        </is>
      </c>
      <c r="G222" s="208" t="inlineStr">
        <is>
          <t>El domicilio del comprador o consignante corresponde a la plaza donde se realiza la subasta o la compraventa de la obra, o el desplazamiento está justificado y documentado.</t>
        </is>
      </c>
    </row>
    <row r="223" ht="18.75" customHeight="1" s="173">
      <c r="A223" s="208">
        <f>B223&amp;"-"&amp;C223</f>
        <v/>
      </c>
      <c r="B223" s="344" t="inlineStr">
        <is>
          <t>VII - Subasta/comercialización obras de arte</t>
        </is>
      </c>
      <c r="C223" s="345" t="n">
        <v>18</v>
      </c>
      <c r="D223" s="208" t="inlineStr">
        <is>
          <t>Instrumento monetario</t>
        </is>
      </c>
      <c r="E223" s="208" t="inlineStr">
        <is>
          <t>Pago en efectivo o instrumentos al portador.</t>
        </is>
      </c>
      <c r="F223" s="208" t="inlineStr">
        <is>
          <t>Pago mixto: efectivo combinado con transferencia.</t>
        </is>
      </c>
      <c r="G223" s="208" t="inlineStr">
        <is>
          <t>Pago íntegro a través del sistema financiero.</t>
        </is>
      </c>
    </row>
    <row r="224" ht="18.75" customHeight="1" s="173">
      <c r="A224" s="208">
        <f>B224&amp;"-"&amp;C224</f>
        <v/>
      </c>
      <c r="B224" s="344" t="inlineStr">
        <is>
          <t>VII - Subasta/comercialización obras de arte</t>
        </is>
      </c>
      <c r="C224" s="345" t="n">
        <v>19</v>
      </c>
      <c r="D224" s="208" t="inlineStr">
        <is>
          <t>Tipo de moneda</t>
        </is>
      </c>
      <c r="E224" s="208" t="inlineStr">
        <is>
          <t>Operación en moneda extranjera distinta al USD o en criptomonedas.</t>
        </is>
      </c>
      <c r="F224" s="208" t="inlineStr">
        <is>
          <t>Operación pactada en dólares estadounidenses (USD).</t>
        </is>
      </c>
      <c r="G224" s="208" t="inlineStr">
        <is>
          <t>Operación pactada y liquidada en pesos mexicanos.</t>
        </is>
      </c>
    </row>
    <row r="225" ht="18.75" customHeight="1" s="173">
      <c r="A225" s="208">
        <f>B225&amp;"-"&amp;C225</f>
        <v/>
      </c>
      <c r="B225" s="344" t="inlineStr">
        <is>
          <t>VII - Subasta/comercialización obras de arte</t>
        </is>
      </c>
      <c r="C225" s="345" t="n">
        <v>20</v>
      </c>
      <c r="D225" s="208" t="inlineStr">
        <is>
          <t>Monto frente a umbrales LFPIORPI</t>
        </is>
      </c>
      <c r="E225" s="208" t="inlineStr">
        <is>
          <t>Monto que supera el umbral de aviso de 4,815 UMA.</t>
        </is>
      </c>
      <c r="F225" s="208" t="inlineStr">
        <is>
          <t>Monto cercano al umbral de 4,815 UMA sin superarlo.</t>
        </is>
      </c>
      <c r="G225" s="208" t="inlineStr">
        <is>
          <t>Monto muy por debajo del umbral de 4,815 UMA.</t>
        </is>
      </c>
    </row>
    <row r="226" ht="18.75" customHeight="1" s="173">
      <c r="A226" s="208">
        <f>B226&amp;"-"&amp;C226</f>
        <v/>
      </c>
      <c r="B226" s="344" t="inlineStr">
        <is>
          <t>VII - Subasta/comercialización obras de arte</t>
        </is>
      </c>
      <c r="C226" s="345" t="n">
        <v>21</v>
      </c>
      <c r="D226" s="208" t="inlineStr">
        <is>
          <t>Frecuencia (fraccionamiento)</t>
        </is>
      </c>
      <c r="E226" s="208" t="inlineStr">
        <is>
          <t>Adquisiciones frecuentes o fraccionadas para eludir el umbral.</t>
        </is>
      </c>
      <c r="F226" s="208" t="inlineStr">
        <is>
          <t>Recurrencia moderada sin patrón claro de fraccionamiento.</t>
        </is>
      </c>
      <c r="G226" s="208" t="inlineStr">
        <is>
          <t>Operación aislada y consistente con el perfil del comprador.</t>
        </is>
      </c>
    </row>
    <row r="227" ht="18.75" customHeight="1" s="173">
      <c r="A227" s="208">
        <f>B227&amp;"-"&amp;C227</f>
        <v/>
      </c>
      <c r="B227" s="344" t="inlineStr">
        <is>
          <t>VII - Subasta/comercialización obras de arte</t>
        </is>
      </c>
      <c r="C227" s="345" t="n">
        <v>22</v>
      </c>
      <c r="D227" s="208" t="inlineStr">
        <is>
          <t>Canal (presencial / no presencial / terceros)</t>
        </is>
      </c>
      <c r="E227" s="208" t="inlineStr">
        <is>
          <t>Operación no presencial o a través de terceros sin contacto directo.</t>
        </is>
      </c>
      <c r="F227" s="208" t="inlineStr">
        <is>
          <t>Operación presencial con intermediación parcial de un tercero.</t>
        </is>
      </c>
      <c r="G227" s="208" t="inlineStr">
        <is>
          <t>Operación presencial directa con el cliente plenamente identificado.</t>
        </is>
      </c>
    </row>
    <row r="228" ht="18.75" customHeight="1" s="173">
      <c r="A228" s="208">
        <f>B228&amp;"-"&amp;C228</f>
        <v/>
      </c>
      <c r="B228" s="344" t="inlineStr">
        <is>
          <t>VII - Subasta/comercialización obras de arte</t>
        </is>
      </c>
      <c r="C228" s="345" t="n">
        <v>23</v>
      </c>
      <c r="D228" s="208" t="inlineStr">
        <is>
          <t>Origen de los recursos</t>
        </is>
      </c>
      <c r="E228" s="208" t="inlineStr">
        <is>
          <t>Recursos de origen no acreditable, en efectivo o informal.</t>
        </is>
      </c>
      <c r="F228" s="208" t="inlineStr">
        <is>
          <t>Origen de recursos parcialmente documentado.</t>
        </is>
      </c>
      <c r="G228" s="208" t="inlineStr">
        <is>
          <t>Origen lícito plenamente acreditado y bancarizado.</t>
        </is>
      </c>
    </row>
    <row r="229" ht="18.75" customHeight="1" s="173">
      <c r="A229" s="208">
        <f>B229&amp;"-"&amp;C229</f>
        <v/>
      </c>
      <c r="B229" s="344" t="inlineStr">
        <is>
          <t>VII - Subasta/comercialización obras de arte</t>
        </is>
      </c>
      <c r="C229" s="345" t="n">
        <v>24</v>
      </c>
      <c r="D229" s="208" t="inlineStr">
        <is>
          <t>Destino de los recursos</t>
        </is>
      </c>
      <c r="E229" s="208" t="inlineStr">
        <is>
          <t>Obra o recursos destinados al exterior o a terceros sin justificación.</t>
        </is>
      </c>
      <c r="F229" s="208" t="inlineStr">
        <is>
          <t>Destino parcialmente justificado.</t>
        </is>
      </c>
      <c r="G229" s="208" t="inlineStr">
        <is>
          <t>Destino claro, documentado y congruente con la operación.</t>
        </is>
      </c>
    </row>
    <row r="230" ht="18.75" customHeight="1" s="173">
      <c r="A230" s="208">
        <f>B230&amp;"-"&amp;C230</f>
        <v/>
      </c>
      <c r="B230" s="344" t="inlineStr">
        <is>
          <t>VII - Subasta/comercialización obras de arte</t>
        </is>
      </c>
      <c r="C230" s="345" t="n">
        <v>25</v>
      </c>
      <c r="D230" s="208" t="inlineStr">
        <is>
          <t>Canales e instrumentos idóneos para el financiamiento al terrorismo</t>
        </is>
      </c>
      <c r="E230" s="208" t="inlineStr">
        <is>
          <t>La operación se realiza mediante postura no presencial mediante intermediarios y pagos desde cuentas de terceros, es decir, medios que permiten mover valor en montos pequeños sin identificar al destinatario final.</t>
        </is>
      </c>
      <c r="F230" s="208" t="inlineStr">
        <is>
          <t>Canal mixto o con verificación parcial: hay registro de la operación pero la trazabilidad del destinatario final es incompleta.</t>
        </is>
      </c>
      <c r="G230" s="208" t="inlineStr">
        <is>
          <t>Operación con partes identificadas de forma directa y pago desde cuenta propia, con trazabilidad completa del origen y del destinatario.</t>
        </is>
      </c>
    </row>
    <row r="231" ht="18.75" customHeight="1" s="173">
      <c r="A231" s="208">
        <f>B231&amp;"-"&amp;C231</f>
        <v/>
      </c>
      <c r="B231" s="344" t="inlineStr">
        <is>
          <t>VIII - Distribución/comercialización vehículos</t>
        </is>
      </c>
      <c r="C231" s="345" t="n">
        <v>1</v>
      </c>
      <c r="D231" s="208" t="inlineStr">
        <is>
          <t>Valor del producto o servicio</t>
        </is>
      </c>
      <c r="E231" s="208" t="inlineStr">
        <is>
          <t>Vehículos de lujo o coleccionables de alto valor unitario.</t>
        </is>
      </c>
      <c r="F231" s="208" t="inlineStr">
        <is>
          <t>Vehículos de gama media de valor intermedio.</t>
        </is>
      </c>
      <c r="G231" s="208" t="inlineStr">
        <is>
          <t>Vehículos económicos de bajo valor unitario.</t>
        </is>
      </c>
    </row>
    <row r="232" ht="18.75" customHeight="1" s="173">
      <c r="A232" s="208">
        <f>B232&amp;"-"&amp;C232</f>
        <v/>
      </c>
      <c r="B232" s="344" t="inlineStr">
        <is>
          <t>VIII - Distribución/comercialización vehículos</t>
        </is>
      </c>
      <c r="C232" s="345" t="n">
        <v>2</v>
      </c>
      <c r="D232" s="208" t="inlineStr">
        <is>
          <t>Liquidez / convertibilidad</t>
        </is>
      </c>
      <c r="E232" s="208" t="inlineStr">
        <is>
          <t>Bien de alta liquidez, revendible o liquidable en efectivo con rapidez.</t>
        </is>
      </c>
      <c r="F232" s="208" t="inlineStr">
        <is>
          <t>Reventa con depreciación y trazabilidad vehicular parcial.</t>
        </is>
      </c>
      <c r="G232" s="208" t="inlineStr">
        <is>
          <t>Reventa limitada con registro y trazabilidad completos.</t>
        </is>
      </c>
    </row>
    <row r="233" ht="18.75" customHeight="1" s="173">
      <c r="A233" s="208">
        <f>B233&amp;"-"&amp;C233</f>
        <v/>
      </c>
      <c r="B233" s="344" t="inlineStr">
        <is>
          <t>VIII - Distribución/comercialización vehículos</t>
        </is>
      </c>
      <c r="C233" s="345" t="n">
        <v>3</v>
      </c>
      <c r="D233" s="208" t="inlineStr">
        <is>
          <t>Anonimato / identificación del beneficiario</t>
        </is>
      </c>
      <c r="E233" s="208" t="inlineStr">
        <is>
          <t>Registro a nombre de prestanombres o terceros que ocultan al dueño real.</t>
        </is>
      </c>
      <c r="F233" s="208" t="inlineStr">
        <is>
          <t>Identificación básica sin verificar al beneficiario final.</t>
        </is>
      </c>
      <c r="G233" s="208" t="inlineStr">
        <is>
          <t>Titular y beneficiario final plenamente identificados.</t>
        </is>
      </c>
    </row>
    <row r="234" ht="18.75" customHeight="1" s="173">
      <c r="A234" s="208">
        <f>B234&amp;"-"&amp;C234</f>
        <v/>
      </c>
      <c r="B234" s="344" t="inlineStr">
        <is>
          <t>VIII - Distribución/comercialización vehículos</t>
        </is>
      </c>
      <c r="C234" s="345" t="n">
        <v>4</v>
      </c>
      <c r="D234" s="208" t="inlineStr">
        <is>
          <t>Transferencia u ocultamiento de valor</t>
        </is>
      </c>
      <c r="E234" s="208" t="inlineStr">
        <is>
          <t>Conversión de efectivo ilícito en activo con valor de reventa alto.</t>
        </is>
      </c>
      <c r="F234" s="208" t="inlineStr">
        <is>
          <t>Facilita ocultamiento parcial mediante financiamiento mixto.</t>
        </is>
      </c>
      <c r="G234" s="208" t="inlineStr">
        <is>
          <t>Operación trazable con registro público que dificulta ocultar valor.</t>
        </is>
      </c>
    </row>
    <row r="235" ht="18.75" customHeight="1" s="173">
      <c r="A235" s="208">
        <f>B235&amp;"-"&amp;C235</f>
        <v/>
      </c>
      <c r="B235" s="344" t="inlineStr">
        <is>
          <t>VIII - Distribución/comercialización vehículos</t>
        </is>
      </c>
      <c r="C235" s="345" t="n">
        <v>5</v>
      </c>
      <c r="D235" s="208" t="inlineStr">
        <is>
          <t>Exposición del acto u operación al financiamiento al terrorismo</t>
        </is>
      </c>
      <c r="E235" s="208" t="inlineStr">
        <is>
          <t>Adquisición de unidades, en particular de doble uso o adaptables, a favor de personas o grupos señalados en listas de sanciones, o con destino declarado a zonas en conflicto.</t>
        </is>
      </c>
      <c r="F235" s="208" t="inlineStr">
        <is>
          <t>Compras de flotilla o unidades con destino de exportación poco claro, sin coincidencias en listas.</t>
        </is>
      </c>
      <c r="G235" s="208" t="inlineStr">
        <is>
          <t>Compra de una unidad para uso propio, con comprador identificado y pago bancarizado.</t>
        </is>
      </c>
    </row>
    <row r="236" ht="18.75" customHeight="1" s="173">
      <c r="A236" s="208">
        <f>B236&amp;"-"&amp;C236</f>
        <v/>
      </c>
      <c r="B236" s="344" t="inlineStr">
        <is>
          <t>VIII - Distribución/comercialización vehículos</t>
        </is>
      </c>
      <c r="C236" s="345" t="n">
        <v>6</v>
      </c>
      <c r="D236" s="208" t="inlineStr">
        <is>
          <t>Tipo de persona y estructura</t>
        </is>
      </c>
      <c r="E236" s="208" t="inlineStr">
        <is>
          <t>Persona moral extranjera, fideicomiso o estructura opaca.</t>
        </is>
      </c>
      <c r="F236" s="208" t="inlineStr">
        <is>
          <t>Persona moral nacional con estructura de control simple.</t>
        </is>
      </c>
      <c r="G236" s="208" t="inlineStr">
        <is>
          <t>Persona física identificada o empresa transparente.</t>
        </is>
      </c>
    </row>
    <row r="237" ht="18.75" customHeight="1" s="173">
      <c r="A237" s="208">
        <f>B237&amp;"-"&amp;C237</f>
        <v/>
      </c>
      <c r="B237" s="344" t="inlineStr">
        <is>
          <t>VIII - Distribución/comercialización vehículos</t>
        </is>
      </c>
      <c r="C237" s="345" t="n">
        <v>7</v>
      </c>
      <c r="D237" s="208" t="inlineStr">
        <is>
          <t>Edad / fecha de constitución</t>
        </is>
      </c>
      <c r="E237" s="208" t="inlineStr">
        <is>
          <t>Comprador muy joven atípico o empresa de reciente creación.</t>
        </is>
      </c>
      <c r="F237" s="208" t="inlineStr">
        <is>
          <t>Antigüedad intermedia sin historial consolidado.</t>
        </is>
      </c>
      <c r="G237" s="208" t="inlineStr">
        <is>
          <t>Persona o empresa con trayectoria y antigüedad acreditada.</t>
        </is>
      </c>
    </row>
    <row r="238" ht="18.75" customHeight="1" s="173">
      <c r="A238" s="208">
        <f>B238&amp;"-"&amp;C238</f>
        <v/>
      </c>
      <c r="B238" s="344" t="inlineStr">
        <is>
          <t>VIII - Distribución/comercialización vehículos</t>
        </is>
      </c>
      <c r="C238" s="345" t="n">
        <v>8</v>
      </c>
      <c r="D238" s="208" t="inlineStr">
        <is>
          <t>Actividad económica o giro (y fuente de ingresos)</t>
        </is>
      </c>
      <c r="E238" s="208" t="inlineStr">
        <is>
          <t>Giro informal, uso intensivo de efectivo o compra-venta no regulada.</t>
        </is>
      </c>
      <c r="F238" s="208" t="inlineStr">
        <is>
          <t>Comercio formal con componente de efectivo relevante.</t>
        </is>
      </c>
      <c r="G238" s="208" t="inlineStr">
        <is>
          <t>Agencia formal con ingresos bancarizados y acreditados.</t>
        </is>
      </c>
    </row>
    <row r="239" ht="18.75" customHeight="1" s="173">
      <c r="A239" s="208">
        <f>B239&amp;"-"&amp;C239</f>
        <v/>
      </c>
      <c r="B239" s="344" t="inlineStr">
        <is>
          <t>VIII - Distribución/comercialización vehículos</t>
        </is>
      </c>
      <c r="C239" s="345" t="n">
        <v>9</v>
      </c>
      <c r="D239" s="208" t="inlineStr">
        <is>
          <t>Nacionalidad del cliente</t>
        </is>
      </c>
      <c r="E239" s="208" t="inlineStr">
        <is>
          <t>Cliente de país en listas GAFI, sancionado o de régimen fiscal preferente.</t>
        </is>
      </c>
      <c r="F239" s="208" t="inlineStr">
        <is>
          <t>Cliente extranjero de país sin deficiencias estratégicas pero con controles PLD limitados.</t>
        </is>
      </c>
      <c r="G239" s="208" t="inlineStr">
        <is>
          <t>Cliente mexicano o de país cooperante con marco PLD/FT sólido.</t>
        </is>
      </c>
    </row>
    <row r="240" ht="18.75" customHeight="1" s="173">
      <c r="A240" s="208">
        <f>B240&amp;"-"&amp;C240</f>
        <v/>
      </c>
      <c r="B240" s="344" t="inlineStr">
        <is>
          <t>VIII - Distribución/comercialización vehículos</t>
        </is>
      </c>
      <c r="C240" s="345" t="n">
        <v>10</v>
      </c>
      <c r="D240" s="208" t="inlineStr">
        <is>
          <t>País (y en su caso, estado) de residencia del cliente</t>
        </is>
      </c>
      <c r="E240" s="208" t="inlineStr">
        <is>
          <t>Residencia en jurisdicción de alto riesgo o domicilio no verificable.</t>
        </is>
      </c>
      <c r="F240" s="208" t="inlineStr">
        <is>
          <t>Residencia en entidad de riesgo intermedio o parcialmente verificable.</t>
        </is>
      </c>
      <c r="G240" s="208" t="inlineStr">
        <is>
          <t>Residencia nacional plenamente verificada y documentada.</t>
        </is>
      </c>
    </row>
    <row r="241" ht="18.75" customHeight="1" s="173">
      <c r="A241" s="208">
        <f>B241&amp;"-"&amp;C241</f>
        <v/>
      </c>
      <c r="B241" s="344" t="inlineStr">
        <is>
          <t>VIII - Distribución/comercialización vehículos</t>
        </is>
      </c>
      <c r="C241" s="345" t="n">
        <v>11</v>
      </c>
      <c r="D241" s="208" t="inlineStr">
        <is>
          <t>Condición PEP</t>
        </is>
      </c>
      <c r="E241" s="208" t="inlineStr">
        <is>
          <t>PEP nacional o extranjera, o familiar/allegado de PEP.</t>
        </is>
      </c>
      <c r="F241" s="208" t="inlineStr">
        <is>
          <t>Vínculo indirecto o histórico con PEP, sin poder de decisión actual.</t>
        </is>
      </c>
      <c r="G241" s="208" t="inlineStr">
        <is>
          <t>Cliente sin condición PEP ni relación con personas expuestas.</t>
        </is>
      </c>
    </row>
    <row r="242" ht="18.75" customHeight="1" s="173">
      <c r="A242" s="208">
        <f>B242&amp;"-"&amp;C242</f>
        <v/>
      </c>
      <c r="B242" s="344" t="inlineStr">
        <is>
          <t>VIII - Distribución/comercialización vehículos</t>
        </is>
      </c>
      <c r="C242" s="345" t="n">
        <v>12</v>
      </c>
      <c r="D242" s="208" t="inlineStr">
        <is>
          <t>Coincidencia en listas de personas bloqueadas o de sanciones</t>
        </is>
      </c>
      <c r="E242" s="208" t="inlineStr">
        <is>
          <t>El comprador, su beneficiario controlador, apoderado o contraparte aparece en la Lista de Personas Bloqueadas, en listas de sanciones o en listas de organizaciones terroristas, o presenta una coincidencia fuerte que no ha sido descartada.</t>
        </is>
      </c>
      <c r="F242" s="208" t="inlineStr">
        <is>
          <t>Se detecta coincidencia parcial u homonimia respecto del comprador o de alguna persona relacionada, y el descarte se encuentra en proceso con constancia documental.</t>
        </is>
      </c>
      <c r="G242" s="208" t="inlineStr">
        <is>
          <t>Búsqueda realizada y documentada sobre el comprador y sus personas relacionadas, sin coincidencias.</t>
        </is>
      </c>
    </row>
    <row r="243" ht="18.75" customHeight="1" s="173">
      <c r="A243" s="208">
        <f>B243&amp;"-"&amp;C243</f>
        <v/>
      </c>
      <c r="B243" s="344" t="inlineStr">
        <is>
          <t>VIII - Distribución/comercialización vehículos</t>
        </is>
      </c>
      <c r="C243" s="345" t="n">
        <v>13</v>
      </c>
      <c r="D243" s="208" t="inlineStr">
        <is>
          <t>Identificación y complejidad del Beneficiario Controlador</t>
        </is>
      </c>
      <c r="E243" s="208" t="inlineStr">
        <is>
          <t>No se logra identificar al beneficiario controlador del comprador, o la estructura interpone dos o más niveles societarios, fiduciarios o vehículos constituidos en el extranjero para llegar al 25 por ciento.</t>
        </is>
      </c>
      <c r="F243" s="208" t="inlineStr">
        <is>
          <t>Beneficiario controlador identificado, pero a través de una estructura de más de un nivel o con participación indirecta que exigió reconstruir la cadena de control con documentos.</t>
        </is>
      </c>
      <c r="G243" s="208" t="inlineStr">
        <is>
          <t>Beneficiario controlador identificado de forma directa y documentada: persona física que posee al menos el 25 por ciento o que ejerce el control por otra vía acreditada.</t>
        </is>
      </c>
    </row>
    <row r="244" ht="18.75" customHeight="1" s="173">
      <c r="A244" s="208">
        <f>B244&amp;"-"&amp;C244</f>
        <v/>
      </c>
      <c r="B244" s="344" t="inlineStr">
        <is>
          <t>VIII - Distribución/comercialización vehículos</t>
        </is>
      </c>
      <c r="C244" s="345" t="n">
        <v>14</v>
      </c>
      <c r="D244" s="208" t="inlineStr">
        <is>
          <t>País / jurisdicción donde se realiza la operación</t>
        </is>
      </c>
      <c r="E244" s="208" t="inlineStr">
        <is>
          <t>Operación realizada con o desde jurisdicción de alto riesgo.</t>
        </is>
      </c>
      <c r="F244" s="208" t="inlineStr">
        <is>
          <t>Operación con contraparte en jurisdicción de riesgo intermedio.</t>
        </is>
      </c>
      <c r="G244" s="208" t="inlineStr">
        <is>
          <t>Operación nacional o con jurisdicción cooperante y transparente.</t>
        </is>
      </c>
    </row>
    <row r="245" ht="18.75" customHeight="1" s="173">
      <c r="A245" s="208">
        <f>B245&amp;"-"&amp;C245</f>
        <v/>
      </c>
      <c r="B245" s="344" t="inlineStr">
        <is>
          <t>VIII - Distribución/comercialización vehículos</t>
        </is>
      </c>
      <c r="C245" s="345" t="n">
        <v>15</v>
      </c>
      <c r="D245" s="208" t="inlineStr">
        <is>
          <t>Área geográfica nacional de la operación</t>
        </is>
      </c>
      <c r="E245" s="208" t="inlineStr">
        <is>
          <t>Zona de alta incidencia delictiva, marginación o franja fronteriza.</t>
        </is>
      </c>
      <c r="F245" s="208" t="inlineStr">
        <is>
          <t>Zona urbana de riesgo intermedio sin alertas relevantes.</t>
        </is>
      </c>
      <c r="G245" s="208" t="inlineStr">
        <is>
          <t>Zona de baja incidencia con presencia institucional.</t>
        </is>
      </c>
    </row>
    <row r="246" ht="18.75" customHeight="1" s="173">
      <c r="A246" s="208">
        <f>B246&amp;"-"&amp;C246</f>
        <v/>
      </c>
      <c r="B246" s="344" t="inlineStr">
        <is>
          <t>VIII - Distribución/comercialización vehículos</t>
        </is>
      </c>
      <c r="C246" s="345" t="n">
        <v>16</v>
      </c>
      <c r="D246" s="208" t="inlineStr">
        <is>
          <t>Vínculo con jurisdicciones sancionadas, en conflicto o de acción requerida por el GAFI</t>
        </is>
      </c>
      <c r="E246" s="208" t="inlineStr">
        <is>
          <t>Existe exposición a jurisdicciones sancionadas, en conflicto armado o de acción requerida del GAFI, por la vía de vehículos con destino de exportación o zona fronteriza.</t>
        </is>
      </c>
      <c r="F246" s="208" t="inlineStr">
        <is>
          <t>Vínculo con jurisdicciones bajo monitoreo intensificado del GAFI o con deficiencias señaladas en la ENR, sin estar sancionadas ni en conflicto.</t>
        </is>
      </c>
      <c r="G246" s="208" t="inlineStr">
        <is>
          <t>Sin vínculo con jurisdicciones sancionadas, en conflicto o listadas por el GAFI; la operación y sus partes se ubican en plazas sin señalamientos.</t>
        </is>
      </c>
    </row>
    <row r="247" ht="18.75" customHeight="1" s="173">
      <c r="A247" s="208">
        <f>B247&amp;"-"&amp;C247</f>
        <v/>
      </c>
      <c r="B247" s="344" t="inlineStr">
        <is>
          <t>VIII - Distribución/comercialización vehículos</t>
        </is>
      </c>
      <c r="C247" s="345" t="n">
        <v>17</v>
      </c>
      <c r="D247" s="208" t="inlineStr">
        <is>
          <t>Congruencia entre el domicilio del Cliente y el lugar de la operación</t>
        </is>
      </c>
      <c r="E247" s="208" t="inlineStr">
        <is>
          <t>El domicilio del comprador no guarda relación económica ni logística con el lugar donde se realiza la compraventa del vehículo, y no existe explicación documentada del desplazamiento.</t>
        </is>
      </c>
      <c r="F247" s="208" t="inlineStr">
        <is>
          <t>Existe distancia relevante entre el domicilio del comprador y el lugar de la operación, con explicación plausible pero no soportada en el expediente.</t>
        </is>
      </c>
      <c r="G247" s="208" t="inlineStr">
        <is>
          <t>El domicilio del comprador corresponde a la plaza donde se realiza la compraventa del vehículo, o el desplazamiento está justificado y documentado.</t>
        </is>
      </c>
    </row>
    <row r="248" ht="18.75" customHeight="1" s="173">
      <c r="A248" s="208">
        <f>B248&amp;"-"&amp;C248</f>
        <v/>
      </c>
      <c r="B248" s="344" t="inlineStr">
        <is>
          <t>VIII - Distribución/comercialización vehículos</t>
        </is>
      </c>
      <c r="C248" s="345" t="n">
        <v>18</v>
      </c>
      <c r="D248" s="208" t="inlineStr">
        <is>
          <t>Instrumento monetario</t>
        </is>
      </c>
      <c r="E248" s="208" t="inlineStr">
        <is>
          <t>Pago en efectivo o instrumentos al portador.</t>
        </is>
      </c>
      <c r="F248" s="208" t="inlineStr">
        <is>
          <t>Pago mixto: enganche en efectivo y financiamiento parcial.</t>
        </is>
      </c>
      <c r="G248" s="208" t="inlineStr">
        <is>
          <t>Pago íntegro por sistema financiero o crédito formal.</t>
        </is>
      </c>
    </row>
    <row r="249" ht="18.75" customHeight="1" s="173">
      <c r="A249" s="208">
        <f>B249&amp;"-"&amp;C249</f>
        <v/>
      </c>
      <c r="B249" s="344" t="inlineStr">
        <is>
          <t>VIII - Distribución/comercialización vehículos</t>
        </is>
      </c>
      <c r="C249" s="345" t="n">
        <v>19</v>
      </c>
      <c r="D249" s="208" t="inlineStr">
        <is>
          <t>Tipo de moneda</t>
        </is>
      </c>
      <c r="E249" s="208" t="inlineStr">
        <is>
          <t>Operación en moneda extranjera distinta al USD o en criptomonedas.</t>
        </is>
      </c>
      <c r="F249" s="208" t="inlineStr">
        <is>
          <t>Operación pactada en dólares estadounidenses (USD).</t>
        </is>
      </c>
      <c r="G249" s="208" t="inlineStr">
        <is>
          <t>Operación pactada y liquidada en pesos mexicanos.</t>
        </is>
      </c>
    </row>
    <row r="250" ht="18.75" customHeight="1" s="173">
      <c r="A250" s="208">
        <f>B250&amp;"-"&amp;C250</f>
        <v/>
      </c>
      <c r="B250" s="344" t="inlineStr">
        <is>
          <t>VIII - Distribución/comercialización vehículos</t>
        </is>
      </c>
      <c r="C250" s="345" t="n">
        <v>20</v>
      </c>
      <c r="D250" s="208" t="inlineStr">
        <is>
          <t>Monto frente a umbrales LFPIORPI</t>
        </is>
      </c>
      <c r="E250" s="208" t="inlineStr">
        <is>
          <t>Monto que supera el umbral de aviso de 6,420 UMA.</t>
        </is>
      </c>
      <c r="F250" s="208" t="inlineStr">
        <is>
          <t>Monto cercano al umbral de 6,420 UMA sin superarlo.</t>
        </is>
      </c>
      <c r="G250" s="208" t="inlineStr">
        <is>
          <t>Monto muy por debajo del umbral de 6,420 UMA.</t>
        </is>
      </c>
    </row>
    <row r="251" ht="18.75" customHeight="1" s="173">
      <c r="A251" s="208">
        <f>B251&amp;"-"&amp;C251</f>
        <v/>
      </c>
      <c r="B251" s="344" t="inlineStr">
        <is>
          <t>VIII - Distribución/comercialización vehículos</t>
        </is>
      </c>
      <c r="C251" s="345" t="n">
        <v>21</v>
      </c>
      <c r="D251" s="208" t="inlineStr">
        <is>
          <t>Frecuencia (fraccionamiento)</t>
        </is>
      </c>
      <c r="E251" s="208" t="inlineStr">
        <is>
          <t>Compra de múltiples unidades en corto plazo o pagos fraccionados.</t>
        </is>
      </c>
      <c r="F251" s="208" t="inlineStr">
        <is>
          <t>Recurrencia moderada sin patrón claro de fraccionamiento.</t>
        </is>
      </c>
      <c r="G251" s="208" t="inlineStr">
        <is>
          <t>Operación aislada y consistente con el perfil del comprador.</t>
        </is>
      </c>
    </row>
    <row r="252" ht="18.75" customHeight="1" s="173">
      <c r="A252" s="208">
        <f>B252&amp;"-"&amp;C252</f>
        <v/>
      </c>
      <c r="B252" s="344" t="inlineStr">
        <is>
          <t>VIII - Distribución/comercialización vehículos</t>
        </is>
      </c>
      <c r="C252" s="345" t="n">
        <v>22</v>
      </c>
      <c r="D252" s="208" t="inlineStr">
        <is>
          <t>Canal (presencial / no presencial / terceros)</t>
        </is>
      </c>
      <c r="E252" s="208" t="inlineStr">
        <is>
          <t>Operación no presencial o a través de terceros sin contacto directo.</t>
        </is>
      </c>
      <c r="F252" s="208" t="inlineStr">
        <is>
          <t>Operación presencial con intermediación parcial de un tercero.</t>
        </is>
      </c>
      <c r="G252" s="208" t="inlineStr">
        <is>
          <t>Operación presencial directa con el cliente plenamente identificado.</t>
        </is>
      </c>
    </row>
    <row r="253" ht="18.75" customHeight="1" s="173">
      <c r="A253" s="208">
        <f>B253&amp;"-"&amp;C253</f>
        <v/>
      </c>
      <c r="B253" s="344" t="inlineStr">
        <is>
          <t>VIII - Distribución/comercialización vehículos</t>
        </is>
      </c>
      <c r="C253" s="345" t="n">
        <v>23</v>
      </c>
      <c r="D253" s="208" t="inlineStr">
        <is>
          <t>Origen de los recursos</t>
        </is>
      </c>
      <c r="E253" s="208" t="inlineStr">
        <is>
          <t>Recursos de origen no acreditable, en efectivo o informal.</t>
        </is>
      </c>
      <c r="F253" s="208" t="inlineStr">
        <is>
          <t>Origen de recursos parcialmente documentado.</t>
        </is>
      </c>
      <c r="G253" s="208" t="inlineStr">
        <is>
          <t>Origen lícito plenamente acreditado y bancarizado.</t>
        </is>
      </c>
    </row>
    <row r="254" ht="18.75" customHeight="1" s="173">
      <c r="A254" s="208">
        <f>B254&amp;"-"&amp;C254</f>
        <v/>
      </c>
      <c r="B254" s="344" t="inlineStr">
        <is>
          <t>VIII - Distribución/comercialización vehículos</t>
        </is>
      </c>
      <c r="C254" s="345" t="n">
        <v>24</v>
      </c>
      <c r="D254" s="208" t="inlineStr">
        <is>
          <t>Destino de los recursos</t>
        </is>
      </c>
      <c r="E254" s="208" t="inlineStr">
        <is>
          <t>Vehículo destinado a terceros o al exterior sin justificación.</t>
        </is>
      </c>
      <c r="F254" s="208" t="inlineStr">
        <is>
          <t>Destino parcialmente justificado.</t>
        </is>
      </c>
      <c r="G254" s="208" t="inlineStr">
        <is>
          <t>Destino claro, documentado y congruente con la operación.</t>
        </is>
      </c>
    </row>
    <row r="255" ht="18.75" customHeight="1" s="173">
      <c r="A255" s="208">
        <f>B255&amp;"-"&amp;C255</f>
        <v/>
      </c>
      <c r="B255" s="344" t="inlineStr">
        <is>
          <t>VIII - Distribución/comercialización vehículos</t>
        </is>
      </c>
      <c r="C255" s="345" t="n">
        <v>25</v>
      </c>
      <c r="D255" s="208" t="inlineStr">
        <is>
          <t>Canales e instrumentos idóneos para el financiamiento al terrorismo</t>
        </is>
      </c>
      <c r="E255" s="208" t="inlineStr">
        <is>
          <t>La operación se realiza mediante venta con pagos en efectivo, factura a nombre de terceros y entrega fuera de la agencia, es decir, medios que permiten mover valor en montos pequeños sin identificar al destinatario final.</t>
        </is>
      </c>
      <c r="F255" s="208" t="inlineStr">
        <is>
          <t>Canal mixto o con verificación parcial: hay registro de la operación pero la trazabilidad del destinatario final es incompleta.</t>
        </is>
      </c>
      <c r="G255" s="208" t="inlineStr">
        <is>
          <t>Venta con comprador identificado, factura a su nombre y pago bancarizado, con trazabilidad completa del origen y del destinatario.</t>
        </is>
      </c>
    </row>
    <row r="256" ht="18.75" customHeight="1" s="173">
      <c r="A256" s="208">
        <f>B256&amp;"-"&amp;C256</f>
        <v/>
      </c>
      <c r="B256" s="344" t="inlineStr">
        <is>
          <t>IX - Servicios de blindaje</t>
        </is>
      </c>
      <c r="C256" s="345" t="n">
        <v>1</v>
      </c>
      <c r="D256" s="208" t="inlineStr">
        <is>
          <t>Valor del producto o servicio</t>
        </is>
      </c>
      <c r="E256" s="208" t="inlineStr">
        <is>
          <t>Blindaje de vehículos de lujo o inmuebles, servicio de alto valor.</t>
        </is>
      </c>
      <c r="F256" s="208" t="inlineStr">
        <is>
          <t>Blindaje de vehículos medianos de valor intermedio.</t>
        </is>
      </c>
      <c r="G256" s="208" t="inlineStr">
        <is>
          <t>Blindaje básico o de bajo nivel de protección y valor.</t>
        </is>
      </c>
    </row>
    <row r="257" ht="18.75" customHeight="1" s="173">
      <c r="A257" s="208">
        <f>B257&amp;"-"&amp;C257</f>
        <v/>
      </c>
      <c r="B257" s="344" t="inlineStr">
        <is>
          <t>IX - Servicios de blindaje</t>
        </is>
      </c>
      <c r="C257" s="345" t="n">
        <v>2</v>
      </c>
      <c r="D257" s="208" t="inlineStr">
        <is>
          <t>Liquidez / convertibilidad</t>
        </is>
      </c>
      <c r="E257" s="208" t="inlineStr">
        <is>
          <t>Servicio ligado a bienes de lujo de fácil reventa o liquidación.</t>
        </is>
      </c>
      <c r="F257" s="208" t="inlineStr">
        <is>
          <t>Bien blindado de reventa moderada.</t>
        </is>
      </c>
      <c r="G257" s="208" t="inlineStr">
        <is>
          <t>Servicio sobre bienes de baja liquidez de reventa.</t>
        </is>
      </c>
    </row>
    <row r="258" ht="18.75" customHeight="1" s="173">
      <c r="A258" s="208">
        <f>B258&amp;"-"&amp;C258</f>
        <v/>
      </c>
      <c r="B258" s="344" t="inlineStr">
        <is>
          <t>IX - Servicios de blindaje</t>
        </is>
      </c>
      <c r="C258" s="345" t="n">
        <v>3</v>
      </c>
      <c r="D258" s="208" t="inlineStr">
        <is>
          <t>Anonimato / identificación del beneficiario</t>
        </is>
      </c>
      <c r="E258" s="208" t="inlineStr">
        <is>
          <t>Contratación mediante terceros que ocultan al usuario final del bien.</t>
        </is>
      </c>
      <c r="F258" s="208" t="inlineStr">
        <is>
          <t>Identificación básica sin verificar al beneficiario final.</t>
        </is>
      </c>
      <c r="G258" s="208" t="inlineStr">
        <is>
          <t>Contratante y beneficiario final plenamente identificados.</t>
        </is>
      </c>
    </row>
    <row r="259" ht="18.75" customHeight="1" s="173">
      <c r="A259" s="208">
        <f>B259&amp;"-"&amp;C259</f>
        <v/>
      </c>
      <c r="B259" s="344" t="inlineStr">
        <is>
          <t>IX - Servicios de blindaje</t>
        </is>
      </c>
      <c r="C259" s="345" t="n">
        <v>4</v>
      </c>
      <c r="D259" s="208" t="inlineStr">
        <is>
          <t>Transferencia u ocultamiento de valor</t>
        </is>
      </c>
      <c r="E259" s="208" t="inlineStr">
        <is>
          <t>Servicio vinculado a protección de activos de origen ilícito.</t>
        </is>
      </c>
      <c r="F259" s="208" t="inlineStr">
        <is>
          <t>Facilita ocultamiento parcial del beneficiario del bien.</t>
        </is>
      </c>
      <c r="G259" s="208" t="inlineStr">
        <is>
          <t>Contratación trazable y documentada que dificulta el ocultamiento.</t>
        </is>
      </c>
    </row>
    <row r="260" ht="18.75" customHeight="1" s="173">
      <c r="A260" s="208">
        <f>B260&amp;"-"&amp;C260</f>
        <v/>
      </c>
      <c r="B260" s="344" t="inlineStr">
        <is>
          <t>IX - Servicios de blindaje</t>
        </is>
      </c>
      <c r="C260" s="345" t="n">
        <v>5</v>
      </c>
      <c r="D260" s="208" t="inlineStr">
        <is>
          <t>Exposición del acto u operación al financiamiento al terrorismo</t>
        </is>
      </c>
      <c r="E260" s="208" t="inlineStr">
        <is>
          <t>Blindaje de unidades a favor de personas o grupos vinculados con organizaciones señaladas en listas, o con destino a zonas en conflicto.</t>
        </is>
      </c>
      <c r="F260" s="208" t="inlineStr">
        <is>
          <t>Contratación mediante intermediarios que no acreditan al propietario final, sin coincidencias en listas.</t>
        </is>
      </c>
      <c r="G260" s="208" t="inlineStr">
        <is>
          <t>Contratante identificado, propietario acreditado y unidad con uso declarado congruente.</t>
        </is>
      </c>
    </row>
    <row r="261" ht="18.75" customHeight="1" s="173">
      <c r="A261" s="208">
        <f>B261&amp;"-"&amp;C261</f>
        <v/>
      </c>
      <c r="B261" s="344" t="inlineStr">
        <is>
          <t>IX - Servicios de blindaje</t>
        </is>
      </c>
      <c r="C261" s="345" t="n">
        <v>6</v>
      </c>
      <c r="D261" s="208" t="inlineStr">
        <is>
          <t>Tipo de persona y estructura</t>
        </is>
      </c>
      <c r="E261" s="208" t="inlineStr">
        <is>
          <t>Persona moral extranjera, fideicomiso o estructura opaca.</t>
        </is>
      </c>
      <c r="F261" s="208" t="inlineStr">
        <is>
          <t>Persona moral nacional con estructura de control simple.</t>
        </is>
      </c>
      <c r="G261" s="208" t="inlineStr">
        <is>
          <t>Empresa regulada o persona física plenamente identificada.</t>
        </is>
      </c>
    </row>
    <row r="262" ht="18.75" customHeight="1" s="173">
      <c r="A262" s="208">
        <f>B262&amp;"-"&amp;C262</f>
        <v/>
      </c>
      <c r="B262" s="344" t="inlineStr">
        <is>
          <t>IX - Servicios de blindaje</t>
        </is>
      </c>
      <c r="C262" s="345" t="n">
        <v>7</v>
      </c>
      <c r="D262" s="208" t="inlineStr">
        <is>
          <t>Edad / fecha de constitución</t>
        </is>
      </c>
      <c r="E262" s="208" t="inlineStr">
        <is>
          <t>Contratante muy joven atípico o empresa de reciente creación.</t>
        </is>
      </c>
      <c r="F262" s="208" t="inlineStr">
        <is>
          <t>Antigüedad intermedia sin historial consolidado.</t>
        </is>
      </c>
      <c r="G262" s="208" t="inlineStr">
        <is>
          <t>Persona o empresa con trayectoria y antigüedad acreditada.</t>
        </is>
      </c>
    </row>
    <row r="263" ht="18.75" customHeight="1" s="173">
      <c r="A263" s="208">
        <f>B263&amp;"-"&amp;C263</f>
        <v/>
      </c>
      <c r="B263" s="344" t="inlineStr">
        <is>
          <t>IX - Servicios de blindaje</t>
        </is>
      </c>
      <c r="C263" s="345" t="n">
        <v>8</v>
      </c>
      <c r="D263" s="208" t="inlineStr">
        <is>
          <t>Actividad económica o giro (y fuente de ingresos)</t>
        </is>
      </c>
      <c r="E263" s="208" t="inlineStr">
        <is>
          <t>Giro informal, uso intensivo de efectivo o vínculo con seguridad privada opaca.</t>
        </is>
      </c>
      <c r="F263" s="208" t="inlineStr">
        <is>
          <t>Actividad formal con componente de efectivo relevante.</t>
        </is>
      </c>
      <c r="G263" s="208" t="inlineStr">
        <is>
          <t>Empresa regulada con ingresos bancarizados y acreditados.</t>
        </is>
      </c>
    </row>
    <row r="264" ht="18.75" customHeight="1" s="173">
      <c r="A264" s="208">
        <f>B264&amp;"-"&amp;C264</f>
        <v/>
      </c>
      <c r="B264" s="344" t="inlineStr">
        <is>
          <t>IX - Servicios de blindaje</t>
        </is>
      </c>
      <c r="C264" s="345" t="n">
        <v>9</v>
      </c>
      <c r="D264" s="208" t="inlineStr">
        <is>
          <t>Nacionalidad del cliente</t>
        </is>
      </c>
      <c r="E264" s="208" t="inlineStr">
        <is>
          <t>Cliente de país en listas GAFI, sancionado o de régimen fiscal preferente.</t>
        </is>
      </c>
      <c r="F264" s="208" t="inlineStr">
        <is>
          <t>Cliente extranjero de país sin deficiencias estratégicas pero con controles PLD limitados.</t>
        </is>
      </c>
      <c r="G264" s="208" t="inlineStr">
        <is>
          <t>Cliente mexicano o de país cooperante con marco PLD/FT sólido.</t>
        </is>
      </c>
    </row>
    <row r="265" ht="18.75" customHeight="1" s="173">
      <c r="A265" s="208">
        <f>B265&amp;"-"&amp;C265</f>
        <v/>
      </c>
      <c r="B265" s="344" t="inlineStr">
        <is>
          <t>IX - Servicios de blindaje</t>
        </is>
      </c>
      <c r="C265" s="345" t="n">
        <v>10</v>
      </c>
      <c r="D265" s="208" t="inlineStr">
        <is>
          <t>País (y en su caso, estado) de residencia del cliente</t>
        </is>
      </c>
      <c r="E265" s="208" t="inlineStr">
        <is>
          <t>Residencia en jurisdicción de alto riesgo o domicilio no verificable.</t>
        </is>
      </c>
      <c r="F265" s="208" t="inlineStr">
        <is>
          <t>Residencia en entidad de riesgo intermedio o parcialmente verificable.</t>
        </is>
      </c>
      <c r="G265" s="208" t="inlineStr">
        <is>
          <t>Residencia nacional plenamente verificada y documentada.</t>
        </is>
      </c>
    </row>
    <row r="266" ht="18.75" customHeight="1" s="173">
      <c r="A266" s="208">
        <f>B266&amp;"-"&amp;C266</f>
        <v/>
      </c>
      <c r="B266" s="344" t="inlineStr">
        <is>
          <t>IX - Servicios de blindaje</t>
        </is>
      </c>
      <c r="C266" s="345" t="n">
        <v>11</v>
      </c>
      <c r="D266" s="208" t="inlineStr">
        <is>
          <t>Condición PEP</t>
        </is>
      </c>
      <c r="E266" s="208" t="inlineStr">
        <is>
          <t>PEP nacional o extranjera, o familiar/allegado de PEP.</t>
        </is>
      </c>
      <c r="F266" s="208" t="inlineStr">
        <is>
          <t>Vínculo indirecto o histórico con PEP, sin poder de decisión actual.</t>
        </is>
      </c>
      <c r="G266" s="208" t="inlineStr">
        <is>
          <t>Cliente sin condición PEP ni relación con personas expuestas.</t>
        </is>
      </c>
    </row>
    <row r="267" ht="18.75" customHeight="1" s="173">
      <c r="A267" s="208">
        <f>B267&amp;"-"&amp;C267</f>
        <v/>
      </c>
      <c r="B267" s="344" t="inlineStr">
        <is>
          <t>IX - Servicios de blindaje</t>
        </is>
      </c>
      <c r="C267" s="345" t="n">
        <v>12</v>
      </c>
      <c r="D267" s="208" t="inlineStr">
        <is>
          <t>Coincidencia en listas de personas bloqueadas o de sanciones</t>
        </is>
      </c>
      <c r="E267" s="208" t="inlineStr">
        <is>
          <t>El contratante, su beneficiario controlador, apoderado o contraparte aparece en la Lista de Personas Bloqueadas, en listas de sanciones o en listas de organizaciones terroristas, o presenta una coincidencia fuerte que no ha sido descartada.</t>
        </is>
      </c>
      <c r="F267" s="208" t="inlineStr">
        <is>
          <t>Se detecta coincidencia parcial u homonimia respecto del contratante o de alguna persona relacionada, y el descarte se encuentra en proceso con constancia documental.</t>
        </is>
      </c>
      <c r="G267" s="208" t="inlineStr">
        <is>
          <t>Búsqueda realizada y documentada sobre el contratante y sus personas relacionadas, sin coincidencias.</t>
        </is>
      </c>
    </row>
    <row r="268" ht="18.75" customHeight="1" s="173">
      <c r="A268" s="208">
        <f>B268&amp;"-"&amp;C268</f>
        <v/>
      </c>
      <c r="B268" s="344" t="inlineStr">
        <is>
          <t>IX - Servicios de blindaje</t>
        </is>
      </c>
      <c r="C268" s="345" t="n">
        <v>13</v>
      </c>
      <c r="D268" s="208" t="inlineStr">
        <is>
          <t>Identificación y complejidad del Beneficiario Controlador</t>
        </is>
      </c>
      <c r="E268" s="208" t="inlineStr">
        <is>
          <t>No se logra identificar al beneficiario controlador del contratante, o la estructura interpone dos o más niveles societarios, fiduciarios o vehículos constituidos en el extranjero para llegar al 25 por ciento.</t>
        </is>
      </c>
      <c r="F268" s="208" t="inlineStr">
        <is>
          <t>Beneficiario controlador identificado, pero a través de una estructura de más de un nivel o con participación indirecta que exigió reconstruir la cadena de control con documentos.</t>
        </is>
      </c>
      <c r="G268" s="208" t="inlineStr">
        <is>
          <t>Beneficiario controlador identificado de forma directa y documentada: persona física que posee al menos el 25 por ciento o que ejerce el control por otra vía acreditada.</t>
        </is>
      </c>
    </row>
    <row r="269" ht="18.75" customHeight="1" s="173">
      <c r="A269" s="208">
        <f>B269&amp;"-"&amp;C269</f>
        <v/>
      </c>
      <c r="B269" s="344" t="inlineStr">
        <is>
          <t>IX - Servicios de blindaje</t>
        </is>
      </c>
      <c r="C269" s="345" t="n">
        <v>14</v>
      </c>
      <c r="D269" s="208" t="inlineStr">
        <is>
          <t>País / jurisdicción donde se realiza la operación</t>
        </is>
      </c>
      <c r="E269" s="208" t="inlineStr">
        <is>
          <t>Operación realizada con o desde jurisdicción de alto riesgo.</t>
        </is>
      </c>
      <c r="F269" s="208" t="inlineStr">
        <is>
          <t>Operación con contraparte en jurisdicción de riesgo intermedio.</t>
        </is>
      </c>
      <c r="G269" s="208" t="inlineStr">
        <is>
          <t>Operación nacional o con jurisdicción cooperante y transparente.</t>
        </is>
      </c>
    </row>
    <row r="270" ht="18.75" customHeight="1" s="173">
      <c r="A270" s="208">
        <f>B270&amp;"-"&amp;C270</f>
        <v/>
      </c>
      <c r="B270" s="344" t="inlineStr">
        <is>
          <t>IX - Servicios de blindaje</t>
        </is>
      </c>
      <c r="C270" s="345" t="n">
        <v>15</v>
      </c>
      <c r="D270" s="208" t="inlineStr">
        <is>
          <t>Área geográfica nacional de la operación</t>
        </is>
      </c>
      <c r="E270" s="208" t="inlineStr">
        <is>
          <t>Zona de alta incidencia delictiva, marginación o franja fronteriza.</t>
        </is>
      </c>
      <c r="F270" s="208" t="inlineStr">
        <is>
          <t>Zona urbana de riesgo intermedio sin alertas relevantes.</t>
        </is>
      </c>
      <c r="G270" s="208" t="inlineStr">
        <is>
          <t>Zona de baja incidencia con presencia institucional.</t>
        </is>
      </c>
    </row>
    <row r="271" ht="18.75" customHeight="1" s="173">
      <c r="A271" s="208">
        <f>B271&amp;"-"&amp;C271</f>
        <v/>
      </c>
      <c r="B271" s="344" t="inlineStr">
        <is>
          <t>IX - Servicios de blindaje</t>
        </is>
      </c>
      <c r="C271" s="345" t="n">
        <v>16</v>
      </c>
      <c r="D271" s="208" t="inlineStr">
        <is>
          <t>Vínculo con jurisdicciones sancionadas, en conflicto o de acción requerida por el GAFI</t>
        </is>
      </c>
      <c r="E271" s="208" t="inlineStr">
        <is>
          <t>Existe exposición a jurisdicciones sancionadas, en conflicto armado o de acción requerida del GAFI, por la vía de unidades blindadas con destino al extranjero.</t>
        </is>
      </c>
      <c r="F271" s="208" t="inlineStr">
        <is>
          <t>Vínculo con jurisdicciones bajo monitoreo intensificado del GAFI o con deficiencias señaladas en la ENR, sin estar sancionadas ni en conflicto.</t>
        </is>
      </c>
      <c r="G271" s="208" t="inlineStr">
        <is>
          <t>Sin vínculo con jurisdicciones sancionadas, en conflicto o listadas por el GAFI; la operación y sus partes se ubican en plazas sin señalamientos.</t>
        </is>
      </c>
    </row>
    <row r="272" ht="18.75" customHeight="1" s="173">
      <c r="A272" s="208">
        <f>B272&amp;"-"&amp;C272</f>
        <v/>
      </c>
      <c r="B272" s="344" t="inlineStr">
        <is>
          <t>IX - Servicios de blindaje</t>
        </is>
      </c>
      <c r="C272" s="345" t="n">
        <v>17</v>
      </c>
      <c r="D272" s="208" t="inlineStr">
        <is>
          <t>Congruencia entre el domicilio del Cliente y el lugar de la operación</t>
        </is>
      </c>
      <c r="E272" s="208" t="inlineStr">
        <is>
          <t>El domicilio del contratante no guarda relación económica ni logística con el lugar donde se realiza el servicio de blindaje, y no existe explicación documentada del desplazamiento.</t>
        </is>
      </c>
      <c r="F272" s="208" t="inlineStr">
        <is>
          <t>Existe distancia relevante entre el domicilio del contratante y el lugar de la operación, con explicación plausible pero no soportada en el expediente.</t>
        </is>
      </c>
      <c r="G272" s="208" t="inlineStr">
        <is>
          <t>El domicilio del contratante corresponde a la plaza donde se realiza el servicio de blindaje, o el desplazamiento está justificado y documentado.</t>
        </is>
      </c>
    </row>
    <row r="273" ht="18.75" customHeight="1" s="173">
      <c r="A273" s="208">
        <f>B273&amp;"-"&amp;C273</f>
        <v/>
      </c>
      <c r="B273" s="344" t="inlineStr">
        <is>
          <t>IX - Servicios de blindaje</t>
        </is>
      </c>
      <c r="C273" s="345" t="n">
        <v>18</v>
      </c>
      <c r="D273" s="208" t="inlineStr">
        <is>
          <t>Instrumento monetario</t>
        </is>
      </c>
      <c r="E273" s="208" t="inlineStr">
        <is>
          <t>Pago en efectivo o instrumentos al portador.</t>
        </is>
      </c>
      <c r="F273" s="208" t="inlineStr">
        <is>
          <t>Pago mixto: efectivo combinado con transferencia.</t>
        </is>
      </c>
      <c r="G273" s="208" t="inlineStr">
        <is>
          <t>Pago íntegro a través del sistema financiero.</t>
        </is>
      </c>
    </row>
    <row r="274" ht="18.75" customHeight="1" s="173">
      <c r="A274" s="208">
        <f>B274&amp;"-"&amp;C274</f>
        <v/>
      </c>
      <c r="B274" s="344" t="inlineStr">
        <is>
          <t>IX - Servicios de blindaje</t>
        </is>
      </c>
      <c r="C274" s="345" t="n">
        <v>19</v>
      </c>
      <c r="D274" s="208" t="inlineStr">
        <is>
          <t>Tipo de moneda</t>
        </is>
      </c>
      <c r="E274" s="208" t="inlineStr">
        <is>
          <t>Operación en moneda extranjera distinta al USD o en criptomonedas.</t>
        </is>
      </c>
      <c r="F274" s="208" t="inlineStr">
        <is>
          <t>Operación pactada en dólares estadounidenses (USD).</t>
        </is>
      </c>
      <c r="G274" s="208" t="inlineStr">
        <is>
          <t>Operación pactada y liquidada en pesos mexicanos.</t>
        </is>
      </c>
    </row>
    <row r="275" ht="18.75" customHeight="1" s="173">
      <c r="A275" s="208">
        <f>B275&amp;"-"&amp;C275</f>
        <v/>
      </c>
      <c r="B275" s="344" t="inlineStr">
        <is>
          <t>IX - Servicios de blindaje</t>
        </is>
      </c>
      <c r="C275" s="345" t="n">
        <v>20</v>
      </c>
      <c r="D275" s="208" t="inlineStr">
        <is>
          <t>Monto frente a umbrales LFPIORPI</t>
        </is>
      </c>
      <c r="E275" s="208" t="inlineStr">
        <is>
          <t>Monto que supera el umbral de aviso de 4,815 UMA.</t>
        </is>
      </c>
      <c r="F275" s="208" t="inlineStr">
        <is>
          <t>Monto cercano al umbral de 4,815 UMA sin superarlo.</t>
        </is>
      </c>
      <c r="G275" s="208" t="inlineStr">
        <is>
          <t>Monto muy por debajo del umbral de 4,815 UMA.</t>
        </is>
      </c>
    </row>
    <row r="276" ht="18.75" customHeight="1" s="173">
      <c r="A276" s="208">
        <f>B276&amp;"-"&amp;C276</f>
        <v/>
      </c>
      <c r="B276" s="344" t="inlineStr">
        <is>
          <t>IX - Servicios de blindaje</t>
        </is>
      </c>
      <c r="C276" s="345" t="n">
        <v>21</v>
      </c>
      <c r="D276" s="208" t="inlineStr">
        <is>
          <t>Frecuencia (fraccionamiento)</t>
        </is>
      </c>
      <c r="E276" s="208" t="inlineStr">
        <is>
          <t>Contrataciones frecuentes o fraccionadas para eludir el umbral.</t>
        </is>
      </c>
      <c r="F276" s="208" t="inlineStr">
        <is>
          <t>Recurrencia moderada sin patrón claro de fraccionamiento.</t>
        </is>
      </c>
      <c r="G276" s="208" t="inlineStr">
        <is>
          <t>Operación aislada y consistente con el perfil del cliente.</t>
        </is>
      </c>
    </row>
    <row r="277" ht="18.75" customHeight="1" s="173">
      <c r="A277" s="208">
        <f>B277&amp;"-"&amp;C277</f>
        <v/>
      </c>
      <c r="B277" s="344" t="inlineStr">
        <is>
          <t>IX - Servicios de blindaje</t>
        </is>
      </c>
      <c r="C277" s="345" t="n">
        <v>22</v>
      </c>
      <c r="D277" s="208" t="inlineStr">
        <is>
          <t>Canal (presencial / no presencial / terceros)</t>
        </is>
      </c>
      <c r="E277" s="208" t="inlineStr">
        <is>
          <t>Operación no presencial o a través de terceros sin contacto directo.</t>
        </is>
      </c>
      <c r="F277" s="208" t="inlineStr">
        <is>
          <t>Operación presencial con intermediación parcial de un tercero.</t>
        </is>
      </c>
      <c r="G277" s="208" t="inlineStr">
        <is>
          <t>Operación presencial directa con el cliente plenamente identificado.</t>
        </is>
      </c>
    </row>
    <row r="278" ht="18.75" customHeight="1" s="173">
      <c r="A278" s="208">
        <f>B278&amp;"-"&amp;C278</f>
        <v/>
      </c>
      <c r="B278" s="344" t="inlineStr">
        <is>
          <t>IX - Servicios de blindaje</t>
        </is>
      </c>
      <c r="C278" s="345" t="n">
        <v>23</v>
      </c>
      <c r="D278" s="208" t="inlineStr">
        <is>
          <t>Origen de los recursos</t>
        </is>
      </c>
      <c r="E278" s="208" t="inlineStr">
        <is>
          <t>Recursos de origen no acreditable, en efectivo o informal.</t>
        </is>
      </c>
      <c r="F278" s="208" t="inlineStr">
        <is>
          <t>Origen de recursos parcialmente documentado.</t>
        </is>
      </c>
      <c r="G278" s="208" t="inlineStr">
        <is>
          <t>Origen lícito plenamente acreditado y bancarizado.</t>
        </is>
      </c>
    </row>
    <row r="279" ht="18.75" customHeight="1" s="173">
      <c r="A279" s="208">
        <f>B279&amp;"-"&amp;C279</f>
        <v/>
      </c>
      <c r="B279" s="344" t="inlineStr">
        <is>
          <t>IX - Servicios de blindaje</t>
        </is>
      </c>
      <c r="C279" s="345" t="n">
        <v>24</v>
      </c>
      <c r="D279" s="208" t="inlineStr">
        <is>
          <t>Destino de los recursos</t>
        </is>
      </c>
      <c r="E279" s="208" t="inlineStr">
        <is>
          <t>Bien blindado destinado a terceros o al exterior sin justificación.</t>
        </is>
      </c>
      <c r="F279" s="208" t="inlineStr">
        <is>
          <t>Destino parcialmente justificado.</t>
        </is>
      </c>
      <c r="G279" s="208" t="inlineStr">
        <is>
          <t>Destino claro, documentado y congruente con la operación.</t>
        </is>
      </c>
    </row>
    <row r="280" ht="18.75" customHeight="1" s="173">
      <c r="A280" s="208">
        <f>B280&amp;"-"&amp;C280</f>
        <v/>
      </c>
      <c r="B280" s="344" t="inlineStr">
        <is>
          <t>IX - Servicios de blindaje</t>
        </is>
      </c>
      <c r="C280" s="345" t="n">
        <v>25</v>
      </c>
      <c r="D280" s="208" t="inlineStr">
        <is>
          <t>Canales e instrumentos idóneos para el financiamiento al terrorismo</t>
        </is>
      </c>
      <c r="E280" s="208" t="inlineStr">
        <is>
          <t>La operación se realiza mediante contratación por intermediarios sin acreditar al propietario y entrega fuera del taller, es decir, medios que permiten mover valor en montos pequeños sin identificar al destinatario final.</t>
        </is>
      </c>
      <c r="F280" s="208" t="inlineStr">
        <is>
          <t>Canal mixto o con verificación parcial: hay registro de la operación pero la trazabilidad del destinatario final es incompleta.</t>
        </is>
      </c>
      <c r="G280" s="208" t="inlineStr">
        <is>
          <t>Contratación con propietario identificado y entrega documentada de la unidad, con trazabilidad completa del origen y del destinatario.</t>
        </is>
      </c>
    </row>
    <row r="281" ht="18.75" customHeight="1" s="173">
      <c r="A281" s="208">
        <f>B281&amp;"-"&amp;C281</f>
        <v/>
      </c>
      <c r="B281" s="344" t="inlineStr">
        <is>
          <t>X - Transporte y custodia de valores</t>
        </is>
      </c>
      <c r="C281" s="345" t="n">
        <v>1</v>
      </c>
      <c r="D281" s="208" t="inlineStr">
        <is>
          <t>Valor del producto o servicio</t>
        </is>
      </c>
      <c r="E281" s="208" t="inlineStr">
        <is>
          <t>Traslado o custodia de efectivo de alto volumen o bienes de altísimo valor en una sola ruta.</t>
        </is>
      </c>
      <c r="F281" s="208" t="inlineStr">
        <is>
          <t>Custodia de valores mixtos (efectivo y documentos) de valor moderado.</t>
        </is>
      </c>
      <c r="G281" s="208" t="inlineStr">
        <is>
          <t>Custodia de valores financieros documentados (títulos, cheques) de bajo monto.</t>
        </is>
      </c>
    </row>
    <row r="282" ht="18.75" customHeight="1" s="173">
      <c r="A282" s="208">
        <f>B282&amp;"-"&amp;C282</f>
        <v/>
      </c>
      <c r="B282" s="344" t="inlineStr">
        <is>
          <t>X - Transporte y custodia de valores</t>
        </is>
      </c>
      <c r="C282" s="345" t="n">
        <v>2</v>
      </c>
      <c r="D282" s="208" t="inlineStr">
        <is>
          <t>Liquidez / convertibilidad</t>
        </is>
      </c>
      <c r="E282" s="208" t="inlineStr">
        <is>
          <t>Efectivo o metales al portador, de conversión inmediata y sin rastro.</t>
        </is>
      </c>
      <c r="F282" s="208" t="inlineStr">
        <is>
          <t>Mezcla de efectivo y documentos parcialmente negociables.</t>
        </is>
      </c>
      <c r="G282" s="208" t="inlineStr">
        <is>
          <t>Títulos nominativos o cheques no negociables, de baja liquidez.</t>
        </is>
      </c>
    </row>
    <row r="283" ht="18.75" customHeight="1" s="173">
      <c r="A283" s="208">
        <f>B283&amp;"-"&amp;C283</f>
        <v/>
      </c>
      <c r="B283" s="344" t="inlineStr">
        <is>
          <t>X - Transporte y custodia de valores</t>
        </is>
      </c>
      <c r="C283" s="345" t="n">
        <v>3</v>
      </c>
      <c r="D283" s="208" t="inlineStr">
        <is>
          <t>Anonimato / identificación del beneficiario</t>
        </is>
      </c>
      <c r="E283" s="208" t="inlineStr">
        <is>
          <t>Remitente o destinatario del valor no identificado o mediante interpósita persona.</t>
        </is>
      </c>
      <c r="F283" s="208" t="inlineStr">
        <is>
          <t>Identificación parcial del beneficiario del traslado.</t>
        </is>
      </c>
      <c r="G283" s="208" t="inlineStr">
        <is>
          <t>Remitente y destinatario plenamente identificados y documentados.</t>
        </is>
      </c>
    </row>
    <row r="284" ht="18.75" customHeight="1" s="173">
      <c r="A284" s="208">
        <f>B284&amp;"-"&amp;C284</f>
        <v/>
      </c>
      <c r="B284" s="344" t="inlineStr">
        <is>
          <t>X - Transporte y custodia de valores</t>
        </is>
      </c>
      <c r="C284" s="345" t="n">
        <v>4</v>
      </c>
      <c r="D284" s="208" t="inlineStr">
        <is>
          <t>Transferencia u ocultamiento de valor</t>
        </is>
      </c>
      <c r="E284" s="208" t="inlineStr">
        <is>
          <t>El traslado físico facilita movilizar efectivo ilícito eludiendo el sistema financiero.</t>
        </is>
      </c>
      <c r="F284" s="208" t="inlineStr">
        <is>
          <t>Traslados con justificación parcial del origen y destino.</t>
        </is>
      </c>
      <c r="G284" s="208" t="inlineStr">
        <is>
          <t>Traslado de valores bancarizados con trazabilidad completa.</t>
        </is>
      </c>
    </row>
    <row r="285" ht="18.75" customHeight="1" s="173">
      <c r="A285" s="208">
        <f>B285&amp;"-"&amp;C285</f>
        <v/>
      </c>
      <c r="B285" s="344" t="inlineStr">
        <is>
          <t>X - Transporte y custodia de valores</t>
        </is>
      </c>
      <c r="C285" s="345" t="n">
        <v>5</v>
      </c>
      <c r="D285" s="208" t="inlineStr">
        <is>
          <t>Exposición del acto u operación al financiamiento al terrorismo</t>
        </is>
      </c>
      <c r="E285" s="208" t="inlineStr">
        <is>
          <t>Traslado de efectivo, metales o valores a favor de personas o redes señaladas en listas, o hacia zonas de conflicto o frontera con destino no acreditado.</t>
        </is>
      </c>
      <c r="F285" s="208" t="inlineStr">
        <is>
          <t>Rutas o destinatarios que cambian con frecuencia sin explicación, sin coincidencias en listas.</t>
        </is>
      </c>
      <c r="G285" s="208" t="inlineStr">
        <is>
          <t>Remitente y destinatario identificados, ruta y valores documentados.</t>
        </is>
      </c>
    </row>
    <row r="286" ht="18.75" customHeight="1" s="173">
      <c r="A286" s="208">
        <f>B286&amp;"-"&amp;C286</f>
        <v/>
      </c>
      <c r="B286" s="344" t="inlineStr">
        <is>
          <t>X - Transporte y custodia de valores</t>
        </is>
      </c>
      <c r="C286" s="345" t="n">
        <v>6</v>
      </c>
      <c r="D286" s="208" t="inlineStr">
        <is>
          <t>Tipo de persona y estructura</t>
        </is>
      </c>
      <c r="E286" s="208" t="inlineStr">
        <is>
          <t>Persona moral extranjera, fideicomiso o estructura opaca como cliente.</t>
        </is>
      </c>
      <c r="F286" s="208" t="inlineStr">
        <is>
          <t>Persona moral nacional con estructura de propiedad poco clara.</t>
        </is>
      </c>
      <c r="G286" s="208" t="inlineStr">
        <is>
          <t>Persona física o moral nacional con beneficiario final identificado.</t>
        </is>
      </c>
    </row>
    <row r="287" ht="18.75" customHeight="1" s="173">
      <c r="A287" s="208">
        <f>B287&amp;"-"&amp;C287</f>
        <v/>
      </c>
      <c r="B287" s="344" t="inlineStr">
        <is>
          <t>X - Transporte y custodia de valores</t>
        </is>
      </c>
      <c r="C287" s="345" t="n">
        <v>7</v>
      </c>
      <c r="D287" s="208" t="inlineStr">
        <is>
          <t>Edad / fecha de constitución</t>
        </is>
      </c>
      <c r="E287" s="208" t="inlineStr">
        <is>
          <t>Empresa de reciente creación o cliente atípico sin historial operativo.</t>
        </is>
      </c>
      <c r="F287" s="208" t="inlineStr">
        <is>
          <t>Empresa con antigüedad intermedia o giro reciente.</t>
        </is>
      </c>
      <c r="G287" s="208" t="inlineStr">
        <is>
          <t>Empresa consolidada con años de operación demostrable.</t>
        </is>
      </c>
    </row>
    <row r="288" ht="18.75" customHeight="1" s="173">
      <c r="A288" s="208">
        <f>B288&amp;"-"&amp;C288</f>
        <v/>
      </c>
      <c r="B288" s="344" t="inlineStr">
        <is>
          <t>X - Transporte y custodia de valores</t>
        </is>
      </c>
      <c r="C288" s="345" t="n">
        <v>8</v>
      </c>
      <c r="D288" s="208" t="inlineStr">
        <is>
          <t>Actividad económica o giro (y fuente de ingresos)</t>
        </is>
      </c>
      <c r="E288" s="208" t="inlineStr">
        <is>
          <t>Giro intensivo en efectivo o informal sin sustento del volumen trasladado.</t>
        </is>
      </c>
      <c r="F288" s="208" t="inlineStr">
        <is>
          <t>Giro mixto con uso parcial de efectivo.</t>
        </is>
      </c>
      <c r="G288" s="208" t="inlineStr">
        <is>
          <t>Giro formal bancarizado congruente con los valores custodiados.</t>
        </is>
      </c>
    </row>
    <row r="289" ht="18.75" customHeight="1" s="173">
      <c r="A289" s="208">
        <f>B289&amp;"-"&amp;C289</f>
        <v/>
      </c>
      <c r="B289" s="344" t="inlineStr">
        <is>
          <t>X - Transporte y custodia de valores</t>
        </is>
      </c>
      <c r="C289" s="345" t="n">
        <v>9</v>
      </c>
      <c r="D289" s="208" t="inlineStr">
        <is>
          <t>Nacionalidad del cliente</t>
        </is>
      </c>
      <c r="E289" s="208" t="inlineStr">
        <is>
          <t>Nacional de país en listas GAFI, sancionado o régimen fiscal preferente.</t>
        </is>
      </c>
      <c r="F289" s="208" t="inlineStr">
        <is>
          <t>Nacional de país con deficiencias parciales en PLD.</t>
        </is>
      </c>
      <c r="G289" s="208" t="inlineStr">
        <is>
          <t>Nacional de país cooperante con marco PLD robusto.</t>
        </is>
      </c>
    </row>
    <row r="290" ht="18.75" customHeight="1" s="173">
      <c r="A290" s="208">
        <f>B290&amp;"-"&amp;C290</f>
        <v/>
      </c>
      <c r="B290" s="344" t="inlineStr">
        <is>
          <t>X - Transporte y custodia de valores</t>
        </is>
      </c>
      <c r="C290" s="345" t="n">
        <v>10</v>
      </c>
      <c r="D290" s="208" t="inlineStr">
        <is>
          <t>País (y en su caso, estado) de residencia del cliente</t>
        </is>
      </c>
      <c r="E290" s="208" t="inlineStr">
        <is>
          <t>Residencia en jurisdicción de alto riesgo o no verificable.</t>
        </is>
      </c>
      <c r="F290" s="208" t="inlineStr">
        <is>
          <t>Residencia verificable en zona de riesgo intermedio.</t>
        </is>
      </c>
      <c r="G290" s="208" t="inlineStr">
        <is>
          <t>Residencia nacional plenamente verificada.</t>
        </is>
      </c>
    </row>
    <row r="291" ht="18.75" customHeight="1" s="173">
      <c r="A291" s="208">
        <f>B291&amp;"-"&amp;C291</f>
        <v/>
      </c>
      <c r="B291" s="344" t="inlineStr">
        <is>
          <t>X - Transporte y custodia de valores</t>
        </is>
      </c>
      <c r="C291" s="345" t="n">
        <v>11</v>
      </c>
      <c r="D291" s="208" t="inlineStr">
        <is>
          <t>Condición PEP</t>
        </is>
      </c>
      <c r="E291" s="208" t="inlineStr">
        <is>
          <t>PEP nacional o extranjera, o allegado de PEP.</t>
        </is>
      </c>
      <c r="F291" s="208" t="inlineStr">
        <is>
          <t>Vínculo indirecto o lejano con una PEP.</t>
        </is>
      </c>
      <c r="G291" s="208" t="inlineStr">
        <is>
          <t>Sin condición PEP ni vínculos identificados.</t>
        </is>
      </c>
    </row>
    <row r="292" ht="18.75" customHeight="1" s="173">
      <c r="A292" s="208">
        <f>B292&amp;"-"&amp;C292</f>
        <v/>
      </c>
      <c r="B292" s="344" t="inlineStr">
        <is>
          <t>X - Transporte y custodia de valores</t>
        </is>
      </c>
      <c r="C292" s="345" t="n">
        <v>12</v>
      </c>
      <c r="D292" s="208" t="inlineStr">
        <is>
          <t>Coincidencia en listas de personas bloqueadas o de sanciones</t>
        </is>
      </c>
      <c r="E292" s="208" t="inlineStr">
        <is>
          <t>El contratante, su beneficiario controlador, apoderado o contraparte aparece en la Lista de Personas Bloqueadas, en listas de sanciones o en listas de organizaciones terroristas, o presenta una coincidencia fuerte que no ha sido descartada.</t>
        </is>
      </c>
      <c r="F292" s="208" t="inlineStr">
        <is>
          <t>Se detecta coincidencia parcial u homonimia respecto del contratante o de alguna persona relacionada, y el descarte se encuentra en proceso con constancia documental.</t>
        </is>
      </c>
      <c r="G292" s="208" t="inlineStr">
        <is>
          <t>Búsqueda realizada y documentada sobre el contratante y sus personas relacionadas, sin coincidencias.</t>
        </is>
      </c>
    </row>
    <row r="293" ht="18.75" customHeight="1" s="173">
      <c r="A293" s="208">
        <f>B293&amp;"-"&amp;C293</f>
        <v/>
      </c>
      <c r="B293" s="344" t="inlineStr">
        <is>
          <t>X - Transporte y custodia de valores</t>
        </is>
      </c>
      <c r="C293" s="345" t="n">
        <v>13</v>
      </c>
      <c r="D293" s="208" t="inlineStr">
        <is>
          <t>Identificación y complejidad del Beneficiario Controlador</t>
        </is>
      </c>
      <c r="E293" s="208" t="inlineStr">
        <is>
          <t>No se logra identificar al beneficiario controlador del contratante, o la estructura interpone dos o más niveles societarios, fiduciarios o vehículos constituidos en el extranjero para llegar al 25 por ciento.</t>
        </is>
      </c>
      <c r="F293" s="208" t="inlineStr">
        <is>
          <t>Beneficiario controlador identificado, pero a través de una estructura de más de un nivel o con participación indirecta que exigió reconstruir la cadena de control con documentos.</t>
        </is>
      </c>
      <c r="G293" s="208" t="inlineStr">
        <is>
          <t>Beneficiario controlador identificado de forma directa y documentada: persona física que posee al menos el 25 por ciento o que ejerce el control por otra vía acreditada.</t>
        </is>
      </c>
    </row>
    <row r="294" ht="18.75" customHeight="1" s="173">
      <c r="A294" s="208">
        <f>B294&amp;"-"&amp;C294</f>
        <v/>
      </c>
      <c r="B294" s="344" t="inlineStr">
        <is>
          <t>X - Transporte y custodia de valores</t>
        </is>
      </c>
      <c r="C294" s="345" t="n">
        <v>14</v>
      </c>
      <c r="D294" s="208" t="inlineStr">
        <is>
          <t>País / jurisdicción donde se realiza la operación</t>
        </is>
      </c>
      <c r="E294" s="208" t="inlineStr">
        <is>
          <t>Traslado con origen o destino en jurisdicción de alto riesgo.</t>
        </is>
      </c>
      <c r="F294" s="208" t="inlineStr">
        <is>
          <t>Operación con jurisdicción de riesgo intermedio.</t>
        </is>
      </c>
      <c r="G294" s="208" t="inlineStr">
        <is>
          <t>Operación íntegramente nacional en jurisdicción de bajo riesgo.</t>
        </is>
      </c>
    </row>
    <row r="295" ht="18.75" customHeight="1" s="173">
      <c r="A295" s="208">
        <f>B295&amp;"-"&amp;C295</f>
        <v/>
      </c>
      <c r="B295" s="344" t="inlineStr">
        <is>
          <t>X - Transporte y custodia de valores</t>
        </is>
      </c>
      <c r="C295" s="345" t="n">
        <v>15</v>
      </c>
      <c r="D295" s="208" t="inlineStr">
        <is>
          <t>Área geográfica nacional de la operación</t>
        </is>
      </c>
      <c r="E295" s="208" t="inlineStr">
        <is>
          <t>Ruta en zona de alta incidencia delictiva, marginación o frontera.</t>
        </is>
      </c>
      <c r="F295" s="208" t="inlineStr">
        <is>
          <t>Ruta en zona de riesgo intermedio.</t>
        </is>
      </c>
      <c r="G295" s="208" t="inlineStr">
        <is>
          <t>Ruta en zona de baja incidencia delictiva.</t>
        </is>
      </c>
    </row>
    <row r="296" ht="18.75" customHeight="1" s="173">
      <c r="A296" s="208">
        <f>B296&amp;"-"&amp;C296</f>
        <v/>
      </c>
      <c r="B296" s="344" t="inlineStr">
        <is>
          <t>X - Transporte y custodia de valores</t>
        </is>
      </c>
      <c r="C296" s="345" t="n">
        <v>16</v>
      </c>
      <c r="D296" s="208" t="inlineStr">
        <is>
          <t>Vínculo con jurisdicciones sancionadas, en conflicto o de acción requerida por el GAFI</t>
        </is>
      </c>
      <c r="E296" s="208" t="inlineStr">
        <is>
          <t>Existe exposición a jurisdicciones sancionadas, en conflicto armado o de acción requerida del GAFI, por la vía de rutas con origen o destino en el extranjero o en zona fronteriza.</t>
        </is>
      </c>
      <c r="F296" s="208" t="inlineStr">
        <is>
          <t>Vínculo con jurisdicciones bajo monitoreo intensificado del GAFI o con deficiencias señaladas en la ENR, sin estar sancionadas ni en conflicto.</t>
        </is>
      </c>
      <c r="G296" s="208" t="inlineStr">
        <is>
          <t>Sin vínculo con jurisdicciones sancionadas, en conflicto o listadas por el GAFI; la operación y sus partes se ubican en plazas sin señalamientos.</t>
        </is>
      </c>
    </row>
    <row r="297" ht="18.75" customHeight="1" s="173">
      <c r="A297" s="208">
        <f>B297&amp;"-"&amp;C297</f>
        <v/>
      </c>
      <c r="B297" s="344" t="inlineStr">
        <is>
          <t>X - Transporte y custodia de valores</t>
        </is>
      </c>
      <c r="C297" s="345" t="n">
        <v>17</v>
      </c>
      <c r="D297" s="208" t="inlineStr">
        <is>
          <t>Congruencia entre el domicilio del Cliente y el lugar de la operación</t>
        </is>
      </c>
      <c r="E297" s="208" t="inlineStr">
        <is>
          <t>El domicilio del contratante no guarda relación económica ni logística con el lugar donde se realiza el traslado o la custodia de valores, y no existe explicación documentada del desplazamiento.</t>
        </is>
      </c>
      <c r="F297" s="208" t="inlineStr">
        <is>
          <t>Existe distancia relevante entre el domicilio del contratante y el lugar de la operación, con explicación plausible pero no soportada en el expediente.</t>
        </is>
      </c>
      <c r="G297" s="208" t="inlineStr">
        <is>
          <t>El domicilio del contratante corresponde a la plaza donde se realiza el traslado o la custodia de valores, o el desplazamiento está justificado y documentado.</t>
        </is>
      </c>
    </row>
    <row r="298" ht="18.75" customHeight="1" s="173">
      <c r="A298" s="208">
        <f>B298&amp;"-"&amp;C298</f>
        <v/>
      </c>
      <c r="B298" s="344" t="inlineStr">
        <is>
          <t>X - Transporte y custodia de valores</t>
        </is>
      </c>
      <c r="C298" s="345" t="n">
        <v>18</v>
      </c>
      <c r="D298" s="208" t="inlineStr">
        <is>
          <t>Instrumento monetario</t>
        </is>
      </c>
      <c r="E298" s="208" t="inlineStr">
        <is>
          <t>Efectivo o instrumentos al portador como objeto del traslado.</t>
        </is>
      </c>
      <c r="F298" s="208" t="inlineStr">
        <is>
          <t>Mezcla de efectivo e instrumentos nominativos.</t>
        </is>
      </c>
      <c r="G298" s="208" t="inlineStr">
        <is>
          <t>Instrumentos nominativos o registros documentales no al portador.</t>
        </is>
      </c>
    </row>
    <row r="299" ht="18.75" customHeight="1" s="173">
      <c r="A299" s="208">
        <f>B299&amp;"-"&amp;C299</f>
        <v/>
      </c>
      <c r="B299" s="344" t="inlineStr">
        <is>
          <t>X - Transporte y custodia de valores</t>
        </is>
      </c>
      <c r="C299" s="345" t="n">
        <v>19</v>
      </c>
      <c r="D299" s="208" t="inlineStr">
        <is>
          <t>Tipo de moneda</t>
        </is>
      </c>
      <c r="E299" s="208" t="inlineStr">
        <is>
          <t>Moneda extranjera distinta al USD o divisas de difícil trazabilidad.</t>
        </is>
      </c>
      <c r="F299" s="208" t="inlineStr">
        <is>
          <t>Mezcla de moneda nacional y USD.</t>
        </is>
      </c>
      <c r="G299" s="208" t="inlineStr">
        <is>
          <t>Moneda nacional exclusivamente.</t>
        </is>
      </c>
    </row>
    <row r="300" ht="18.75" customHeight="1" s="173">
      <c r="A300" s="208">
        <f>B300&amp;"-"&amp;C300</f>
        <v/>
      </c>
      <c r="B300" s="344" t="inlineStr">
        <is>
          <t>X - Transporte y custodia de valores</t>
        </is>
      </c>
      <c r="C300" s="345" t="n">
        <v>20</v>
      </c>
      <c r="D300" s="208" t="inlineStr">
        <is>
          <t>Monto frente a umbrales LFPIORPI</t>
        </is>
      </c>
      <c r="E300" s="208" t="inlineStr">
        <is>
          <t>Valor trasladado supera ampliamente el umbral de aviso de 3,210 UMA.</t>
        </is>
      </c>
      <c r="F300" s="208" t="inlineStr">
        <is>
          <t>Valor cercano al umbral de aviso de 3,210 UMA.</t>
        </is>
      </c>
      <c r="G300" s="208" t="inlineStr">
        <is>
          <t>Valor muy por debajo del umbral de aviso de 3,210 UMA.</t>
        </is>
      </c>
    </row>
    <row r="301" ht="18.75" customHeight="1" s="173">
      <c r="A301" s="208">
        <f>B301&amp;"-"&amp;C301</f>
        <v/>
      </c>
      <c r="B301" s="344" t="inlineStr">
        <is>
          <t>X - Transporte y custodia de valores</t>
        </is>
      </c>
      <c r="C301" s="345" t="n">
        <v>21</v>
      </c>
      <c r="D301" s="208" t="inlineStr">
        <is>
          <t>Frecuencia (fraccionamiento)</t>
        </is>
      </c>
      <c r="E301" s="208" t="inlineStr">
        <is>
          <t>Traslados frecuentes o fraccionados para no superar el umbral de aviso.</t>
        </is>
      </c>
      <c r="F301" s="208" t="inlineStr">
        <is>
          <t>Traslados periódicos sin patrón claro de fraccionamiento.</t>
        </is>
      </c>
      <c r="G301" s="208" t="inlineStr">
        <is>
          <t>Traslados esporádicos y congruentes con la operación.</t>
        </is>
      </c>
    </row>
    <row r="302" ht="18.75" customHeight="1" s="173">
      <c r="A302" s="208">
        <f>B302&amp;"-"&amp;C302</f>
        <v/>
      </c>
      <c r="B302" s="344" t="inlineStr">
        <is>
          <t>X - Transporte y custodia de valores</t>
        </is>
      </c>
      <c r="C302" s="345" t="n">
        <v>22</v>
      </c>
      <c r="D302" s="208" t="inlineStr">
        <is>
          <t>Canal (presencial / no presencial / terceros)</t>
        </is>
      </c>
      <c r="E302" s="208" t="inlineStr">
        <is>
          <t>Contratación no presencial o mediante terceros sin contacto directo.</t>
        </is>
      </c>
      <c r="F302" s="208" t="inlineStr">
        <is>
          <t>Contratación semipresencial con verificación parcial.</t>
        </is>
      </c>
      <c r="G302" s="208" t="inlineStr">
        <is>
          <t>Contratación presencial con verificación directa del cliente.</t>
        </is>
      </c>
    </row>
    <row r="303" ht="18.75" customHeight="1" s="173">
      <c r="A303" s="208">
        <f>B303&amp;"-"&amp;C303</f>
        <v/>
      </c>
      <c r="B303" s="344" t="inlineStr">
        <is>
          <t>X - Transporte y custodia de valores</t>
        </is>
      </c>
      <c r="C303" s="345" t="n">
        <v>23</v>
      </c>
      <c r="D303" s="208" t="inlineStr">
        <is>
          <t>Origen de los recursos</t>
        </is>
      </c>
      <c r="E303" s="208" t="inlineStr">
        <is>
          <t>Origen del efectivo no acreditable o de fuente informal.</t>
        </is>
      </c>
      <c r="F303" s="208" t="inlineStr">
        <is>
          <t>Origen de los recursos parcialmente documentado.</t>
        </is>
      </c>
      <c r="G303" s="208" t="inlineStr">
        <is>
          <t>Origen bancarizado y plenamente acreditado.</t>
        </is>
      </c>
    </row>
    <row r="304" ht="18.75" customHeight="1" s="173">
      <c r="A304" s="208">
        <f>B304&amp;"-"&amp;C304</f>
        <v/>
      </c>
      <c r="B304" s="344" t="inlineStr">
        <is>
          <t>X - Transporte y custodia de valores</t>
        </is>
      </c>
      <c r="C304" s="345" t="n">
        <v>24</v>
      </c>
      <c r="D304" s="208" t="inlineStr">
        <is>
          <t>Destino de los recursos</t>
        </is>
      </c>
      <c r="E304" s="208" t="inlineStr">
        <is>
          <t>Destino opaco, a terceros o al exterior sin justificación.</t>
        </is>
      </c>
      <c r="F304" s="208" t="inlineStr">
        <is>
          <t>Destino de los recursos parcialmente documentado.</t>
        </is>
      </c>
      <c r="G304" s="208" t="inlineStr">
        <is>
          <t>Destino identificado y congruente con la operación.</t>
        </is>
      </c>
    </row>
    <row r="305" ht="18.75" customHeight="1" s="173">
      <c r="A305" s="208">
        <f>B305&amp;"-"&amp;C305</f>
        <v/>
      </c>
      <c r="B305" s="344" t="inlineStr">
        <is>
          <t>X - Transporte y custodia de valores</t>
        </is>
      </c>
      <c r="C305" s="345" t="n">
        <v>25</v>
      </c>
      <c r="D305" s="208" t="inlineStr">
        <is>
          <t>Canales e instrumentos idóneos para el financiamiento al terrorismo</t>
        </is>
      </c>
      <c r="E305" s="208" t="inlineStr">
        <is>
          <t>La operación se realiza mediante servicios contratados por intermediarios, con remitente o destinatario no acreditado, es decir, medios que permiten mover valor en montos pequeños sin identificar al destinatario final.</t>
        </is>
      </c>
      <c r="F305" s="208" t="inlineStr">
        <is>
          <t>Canal mixto o con verificación parcial: hay registro de la operación pero la trazabilidad del destinatario final es incompleta.</t>
        </is>
      </c>
      <c r="G305" s="208" t="inlineStr">
        <is>
          <t>Servicio con remitente y destinatario identificados y valores documentados, con trazabilidad completa del origen y del destinatario.</t>
        </is>
      </c>
    </row>
    <row r="306" ht="18.75" customHeight="1" s="173">
      <c r="A306" s="208">
        <f>B306&amp;"-"&amp;C306</f>
        <v/>
      </c>
      <c r="B306" s="344" t="inlineStr">
        <is>
          <t>XI - Servicios Profesionales</t>
        </is>
      </c>
      <c r="C306" s="345" t="n">
        <v>1</v>
      </c>
      <c r="D306" s="208" t="inlineStr">
        <is>
          <t>Valor del producto o servicio</t>
        </is>
      </c>
      <c r="E306" s="208" t="inlineStr">
        <is>
          <t>Servicio de estructuracion patrimonial o fiscal compleja de alto valor.</t>
        </is>
      </c>
      <c r="F306" s="208" t="inlineStr">
        <is>
          <t>Servicio especializado de valor intermedio (contratos, tramites).</t>
        </is>
      </c>
      <c r="G306" s="208" t="inlineStr">
        <is>
          <t>Servicio rutinario o administrativo de bajo valor.</t>
        </is>
      </c>
    </row>
    <row r="307" ht="18.75" customHeight="1" s="173">
      <c r="A307" s="208">
        <f>B307&amp;"-"&amp;C307</f>
        <v/>
      </c>
      <c r="B307" s="344" t="inlineStr">
        <is>
          <t>XI - Servicios Profesionales</t>
        </is>
      </c>
      <c r="C307" s="345" t="n">
        <v>2</v>
      </c>
      <c r="D307" s="208" t="inlineStr">
        <is>
          <t>Liquidez / convertibilidad</t>
        </is>
      </c>
      <c r="E307" s="208" t="inlineStr">
        <is>
          <t>Disena esquemas que permiten disponer o convertir activos con rapidez.</t>
        </is>
      </c>
      <c r="F307" s="208" t="inlineStr">
        <is>
          <t>Facilita disposición parcial de valor bajo ciertas condiciones.</t>
        </is>
      </c>
      <c r="G307" s="208" t="inlineStr">
        <is>
          <t>Servicio sin efecto sobre la disponibilidad de activos.</t>
        </is>
      </c>
    </row>
    <row r="308" ht="18.75" customHeight="1" s="173">
      <c r="A308" s="208">
        <f>B308&amp;"-"&amp;C308</f>
        <v/>
      </c>
      <c r="B308" s="344" t="inlineStr">
        <is>
          <t>XI - Servicios Profesionales</t>
        </is>
      </c>
      <c r="C308" s="345" t="n">
        <v>3</v>
      </c>
      <c r="D308" s="208" t="inlineStr">
        <is>
          <t>Anonimato / identificación del beneficiario</t>
        </is>
      </c>
      <c r="E308" s="208" t="inlineStr">
        <is>
          <t>Estructura interpuesta que oculta al beneficiario final.</t>
        </is>
      </c>
      <c r="F308" s="208" t="inlineStr">
        <is>
          <t>Beneficiario identificable con esfuerzo adicional.</t>
        </is>
      </c>
      <c r="G308" s="208" t="inlineStr">
        <is>
          <t>Beneficiario final plenamente identificado.</t>
        </is>
      </c>
    </row>
    <row r="309" ht="18.75" customHeight="1" s="173">
      <c r="A309" s="208">
        <f>B309&amp;"-"&amp;C309</f>
        <v/>
      </c>
      <c r="B309" s="344" t="inlineStr">
        <is>
          <t>XI - Servicios Profesionales</t>
        </is>
      </c>
      <c r="C309" s="345" t="n">
        <v>4</v>
      </c>
      <c r="D309" s="208" t="inlineStr">
        <is>
          <t>Transferencia u ocultamiento de valor</t>
        </is>
      </c>
      <c r="E309" s="208" t="inlineStr">
        <is>
          <t>Da apariencia de legalidad a movimientos u ocultamiento de valor.</t>
        </is>
      </c>
      <c r="F309" s="208" t="inlineStr">
        <is>
          <t>Interviene en operaciones con trazabilidad parcial.</t>
        </is>
      </c>
      <c r="G309" s="208" t="inlineStr">
        <is>
          <t>Servicio sin capacidad de mover ni ocultar valor.</t>
        </is>
      </c>
    </row>
    <row r="310" ht="18.75" customHeight="1" s="173">
      <c r="A310" s="208">
        <f>B310&amp;"-"&amp;C310</f>
        <v/>
      </c>
      <c r="B310" s="344" t="inlineStr">
        <is>
          <t>XI - Servicios Profesionales</t>
        </is>
      </c>
      <c r="C310" s="345" t="n">
        <v>5</v>
      </c>
      <c r="D310" s="208" t="inlineStr">
        <is>
          <t>Exposición del acto u operación al financiamiento al terrorismo</t>
        </is>
      </c>
      <c r="E310" s="208" t="inlineStr">
        <is>
          <t>Administración de recursos, constitución de vehículos o representación a favor de personas u organizaciones señaladas en listas de sanciones.</t>
        </is>
      </c>
      <c r="F310" s="208" t="inlineStr">
        <is>
          <t>Encargos que involucran vehículos del extranjero con beneficiario poco claro, sin coincidencias en listas.</t>
        </is>
      </c>
      <c r="G310" s="208" t="inlineStr">
        <is>
          <t>Encargo con objeto lícito documentado, cliente identificado y honorarios bancarizados.</t>
        </is>
      </c>
    </row>
    <row r="311" ht="18.75" customHeight="1" s="173">
      <c r="A311" s="208">
        <f>B311&amp;"-"&amp;C311</f>
        <v/>
      </c>
      <c r="B311" s="344" t="inlineStr">
        <is>
          <t>XI - Servicios Profesionales</t>
        </is>
      </c>
      <c r="C311" s="345" t="n">
        <v>6</v>
      </c>
      <c r="D311" s="208" t="inlineStr">
        <is>
          <t>Tipo de persona y estructura</t>
        </is>
      </c>
      <c r="E311" s="208" t="inlineStr">
        <is>
          <t>Persona moral extranjera, fideicomiso o estructura opaca.</t>
        </is>
      </c>
      <c r="F311" s="208" t="inlineStr">
        <is>
          <t>Persona moral nacional con estructura estándar.</t>
        </is>
      </c>
      <c r="G311" s="208" t="inlineStr">
        <is>
          <t>Persona física o moral pequeña con estructura transparente.</t>
        </is>
      </c>
    </row>
    <row r="312" ht="18.75" customHeight="1" s="173">
      <c r="A312" s="208">
        <f>B312&amp;"-"&amp;C312</f>
        <v/>
      </c>
      <c r="B312" s="344" t="inlineStr">
        <is>
          <t>XI - Servicios Profesionales</t>
        </is>
      </c>
      <c r="C312" s="345" t="n">
        <v>7</v>
      </c>
      <c r="D312" s="208" t="inlineStr">
        <is>
          <t>Edad / fecha de constitución</t>
        </is>
      </c>
      <c r="E312" s="208" t="inlineStr">
        <is>
          <t>Empresa de reciente creacion o persona física de perfil atípico.</t>
        </is>
      </c>
      <c r="F312" s="208" t="inlineStr">
        <is>
          <t>Entidad con antigüedad intermedia y operación regular.</t>
        </is>
      </c>
      <c r="G312" s="208" t="inlineStr">
        <is>
          <t>Persona o empresa consolidada con historial verificable.</t>
        </is>
      </c>
    </row>
    <row r="313" ht="18.75" customHeight="1" s="173">
      <c r="A313" s="208">
        <f>B313&amp;"-"&amp;C313</f>
        <v/>
      </c>
      <c r="B313" s="344" t="inlineStr">
        <is>
          <t>XI - Servicios Profesionales</t>
        </is>
      </c>
      <c r="C313" s="345" t="n">
        <v>8</v>
      </c>
      <c r="D313" s="208" t="inlineStr">
        <is>
          <t>Actividad económica o giro (y fuente de ingresos)</t>
        </is>
      </c>
      <c r="E313" s="208" t="inlineStr">
        <is>
          <t>Giro informal, intensivo en efectivo o ligado a otras AV.</t>
        </is>
      </c>
      <c r="F313" s="208" t="inlineStr">
        <is>
          <t>Giro formal de riesgo medio con ingresos documentables.</t>
        </is>
      </c>
      <c r="G313" s="208" t="inlineStr">
        <is>
          <t>Giro formal de bajo riesgo con fuente de ingresos clara.</t>
        </is>
      </c>
    </row>
    <row r="314" ht="18.75" customHeight="1" s="173">
      <c r="A314" s="208">
        <f>B314&amp;"-"&amp;C314</f>
        <v/>
      </c>
      <c r="B314" s="344" t="inlineStr">
        <is>
          <t>XI - Servicios Profesionales</t>
        </is>
      </c>
      <c r="C314" s="345" t="n">
        <v>9</v>
      </c>
      <c r="D314" s="208" t="inlineStr">
        <is>
          <t>Nacionalidad del cliente</t>
        </is>
      </c>
      <c r="E314" s="208" t="inlineStr">
        <is>
          <t>Cliente de país en listas GAFI, sancionado o de régimen fiscal preferente.</t>
        </is>
      </c>
      <c r="F314" s="208" t="inlineStr">
        <is>
          <t>Nacionalidad extranjera de país sin alertas relevantes.</t>
        </is>
      </c>
      <c r="G314" s="208" t="inlineStr">
        <is>
          <t>Cliente mexicano o de país cooperante sin observaciones.</t>
        </is>
      </c>
    </row>
    <row r="315" ht="18.75" customHeight="1" s="173">
      <c r="A315" s="208">
        <f>B315&amp;"-"&amp;C315</f>
        <v/>
      </c>
      <c r="B315" s="344" t="inlineStr">
        <is>
          <t>XI - Servicios Profesionales</t>
        </is>
      </c>
      <c r="C315" s="345" t="n">
        <v>10</v>
      </c>
      <c r="D315" s="208" t="inlineStr">
        <is>
          <t>País (y en su caso, estado) de residencia del cliente</t>
        </is>
      </c>
      <c r="E315" s="208" t="inlineStr">
        <is>
          <t>Reside en jurisdicción de alto riesgo o con domicilio no verificable.</t>
        </is>
      </c>
      <c r="F315" s="208" t="inlineStr">
        <is>
          <t>Reside en el extranjero en país cooperante, con domicilio comprobable.</t>
        </is>
      </c>
      <c r="G315" s="208" t="inlineStr">
        <is>
          <t>Residencia nacional verificada y estable.</t>
        </is>
      </c>
    </row>
    <row r="316" ht="18.75" customHeight="1" s="173">
      <c r="A316" s="208">
        <f>B316&amp;"-"&amp;C316</f>
        <v/>
      </c>
      <c r="B316" s="344" t="inlineStr">
        <is>
          <t>XI - Servicios Profesionales</t>
        </is>
      </c>
      <c r="C316" s="345" t="n">
        <v>11</v>
      </c>
      <c r="D316" s="208" t="inlineStr">
        <is>
          <t>Condición PEP</t>
        </is>
      </c>
      <c r="E316" s="208" t="inlineStr">
        <is>
          <t>PEP nacional o extranjera, o allegado que actua por su cuenta.</t>
        </is>
      </c>
      <c r="F316" s="208" t="inlineStr">
        <is>
          <t>Vinculo indirecto con PEP o PEP de perfil menor, monitoreado.</t>
        </is>
      </c>
      <c r="G316" s="208" t="inlineStr">
        <is>
          <t>Sin condición PEP ni vínculos con funcionarios.</t>
        </is>
      </c>
    </row>
    <row r="317" ht="18.75" customHeight="1" s="173">
      <c r="A317" s="208">
        <f>B317&amp;"-"&amp;C317</f>
        <v/>
      </c>
      <c r="B317" s="344" t="inlineStr">
        <is>
          <t>XI - Servicios Profesionales</t>
        </is>
      </c>
      <c r="C317" s="345" t="n">
        <v>12</v>
      </c>
      <c r="D317" s="208" t="inlineStr">
        <is>
          <t>Coincidencia en listas de personas bloqueadas o de sanciones</t>
        </is>
      </c>
      <c r="E317" s="208" t="inlineStr">
        <is>
          <t>El cliente, su beneficiario controlador, apoderado o contraparte aparece en la Lista de Personas Bloqueadas, en listas de sanciones o en listas de organizaciones terroristas, o presenta una coincidencia fuerte que no ha sido descartada.</t>
        </is>
      </c>
      <c r="F317" s="208" t="inlineStr">
        <is>
          <t>Se detecta coincidencia parcial u homonimia respecto del cliente o de alguna persona relacionada, y el descarte se encuentra en proceso con constancia documental.</t>
        </is>
      </c>
      <c r="G317" s="208" t="inlineStr">
        <is>
          <t>Búsqueda realizada y documentada sobre el cliente y sus personas relacionadas, sin coincidencias.</t>
        </is>
      </c>
    </row>
    <row r="318" ht="18.75" customHeight="1" s="173">
      <c r="A318" s="208">
        <f>B318&amp;"-"&amp;C318</f>
        <v/>
      </c>
      <c r="B318" s="344" t="inlineStr">
        <is>
          <t>XI - Servicios Profesionales</t>
        </is>
      </c>
      <c r="C318" s="345" t="n">
        <v>13</v>
      </c>
      <c r="D318" s="208" t="inlineStr">
        <is>
          <t>Identificación y complejidad del Beneficiario Controlador</t>
        </is>
      </c>
      <c r="E318" s="208" t="inlineStr">
        <is>
          <t>No se logra identificar al beneficiario controlador del cliente, o la estructura interpone dos o más niveles societarios, fiduciarios o vehículos constituidos en el extranjero para llegar al 25 por ciento.</t>
        </is>
      </c>
      <c r="F318" s="208" t="inlineStr">
        <is>
          <t>Beneficiario controlador identificado, pero a través de una estructura de más de un nivel o con participación indirecta que exigió reconstruir la cadena de control con documentos.</t>
        </is>
      </c>
      <c r="G318" s="208" t="inlineStr">
        <is>
          <t>Beneficiario controlador identificado de forma directa y documentada: persona física que posee al menos el 25 por ciento o que ejerce el control por otra vía acreditada.</t>
        </is>
      </c>
    </row>
    <row r="319" ht="18.75" customHeight="1" s="173">
      <c r="A319" s="208">
        <f>B319&amp;"-"&amp;C319</f>
        <v/>
      </c>
      <c r="B319" s="344" t="inlineStr">
        <is>
          <t>XI - Servicios Profesionales</t>
        </is>
      </c>
      <c r="C319" s="345" t="n">
        <v>14</v>
      </c>
      <c r="D319" s="208" t="inlineStr">
        <is>
          <t>País / jurisdicción donde se realiza la operación</t>
        </is>
      </c>
      <c r="E319" s="208" t="inlineStr">
        <is>
          <t>Operación con o desde jurisdicción de alto riesgo o no cooperante.</t>
        </is>
      </c>
      <c r="F319" s="208" t="inlineStr">
        <is>
          <t>Operación con componente internacional en país cooperante.</t>
        </is>
      </c>
      <c r="G319" s="208" t="inlineStr">
        <is>
          <t>Operación integramente nacional.</t>
        </is>
      </c>
    </row>
    <row r="320" ht="18.75" customHeight="1" s="173">
      <c r="A320" s="208">
        <f>B320&amp;"-"&amp;C320</f>
        <v/>
      </c>
      <c r="B320" s="344" t="inlineStr">
        <is>
          <t>XI - Servicios Profesionales</t>
        </is>
      </c>
      <c r="C320" s="345" t="n">
        <v>15</v>
      </c>
      <c r="D320" s="208" t="inlineStr">
        <is>
          <t>Área geográfica nacional de la operación</t>
        </is>
      </c>
      <c r="E320" s="208" t="inlineStr">
        <is>
          <t>Zona de alta incidencia delictiva, marginacion o frontera.</t>
        </is>
      </c>
      <c r="F320" s="208" t="inlineStr">
        <is>
          <t>Zona urbana ordinaria sin alertas particulares.</t>
        </is>
      </c>
      <c r="G320" s="208" t="inlineStr">
        <is>
          <t>Zona de bajo riesgo con actividad económica formal.</t>
        </is>
      </c>
    </row>
    <row r="321" ht="18.75" customHeight="1" s="173">
      <c r="A321" s="208">
        <f>B321&amp;"-"&amp;C321</f>
        <v/>
      </c>
      <c r="B321" s="344" t="inlineStr">
        <is>
          <t>XI - Servicios Profesionales</t>
        </is>
      </c>
      <c r="C321" s="345" t="n">
        <v>16</v>
      </c>
      <c r="D321" s="208" t="inlineStr">
        <is>
          <t>Vínculo con jurisdicciones sancionadas, en conflicto o de acción requerida por el GAFI</t>
        </is>
      </c>
      <c r="E321" s="208" t="inlineStr">
        <is>
          <t>Existe exposición a jurisdicciones sancionadas, en conflicto armado o de acción requerida del GAFI, por la vía de clientes o estructuras constituidas en el extranjero.</t>
        </is>
      </c>
      <c r="F321" s="208" t="inlineStr">
        <is>
          <t>Vínculo con jurisdicciones bajo monitoreo intensificado del GAFI o con deficiencias señaladas en la ENR, sin estar sancionadas ni en conflicto.</t>
        </is>
      </c>
      <c r="G321" s="208" t="inlineStr">
        <is>
          <t>Sin vínculo con jurisdicciones sancionadas, en conflicto o listadas por el GAFI; la operación y sus partes se ubican en plazas sin señalamientos.</t>
        </is>
      </c>
    </row>
    <row r="322" ht="18.75" customHeight="1" s="173">
      <c r="A322" s="208">
        <f>B322&amp;"-"&amp;C322</f>
        <v/>
      </c>
      <c r="B322" s="344" t="inlineStr">
        <is>
          <t>XI - Servicios Profesionales</t>
        </is>
      </c>
      <c r="C322" s="345" t="n">
        <v>17</v>
      </c>
      <c r="D322" s="208" t="inlineStr">
        <is>
          <t>Congruencia entre el domicilio del Cliente y el lugar de la operación</t>
        </is>
      </c>
      <c r="E322" s="208" t="inlineStr">
        <is>
          <t>El domicilio del cliente no guarda relación económica ni logística con el lugar donde se realiza el servicio profesional prestado, y no existe explicación documentada del desplazamiento.</t>
        </is>
      </c>
      <c r="F322" s="208" t="inlineStr">
        <is>
          <t>Existe distancia relevante entre el domicilio del cliente y el lugar de la operación, con explicación plausible pero no soportada en el expediente.</t>
        </is>
      </c>
      <c r="G322" s="208" t="inlineStr">
        <is>
          <t>El domicilio del cliente corresponde a la plaza donde se realiza el servicio profesional prestado, o el desplazamiento está justificado y documentado.</t>
        </is>
      </c>
    </row>
    <row r="323" ht="18.75" customHeight="1" s="173">
      <c r="A323" s="208">
        <f>B323&amp;"-"&amp;C323</f>
        <v/>
      </c>
      <c r="B323" s="344" t="inlineStr">
        <is>
          <t>XI - Servicios Profesionales</t>
        </is>
      </c>
      <c r="C323" s="345" t="n">
        <v>18</v>
      </c>
      <c r="D323" s="208" t="inlineStr">
        <is>
          <t>Instrumento monetario</t>
        </is>
      </c>
      <c r="E323" s="208" t="inlineStr">
        <is>
          <t>Honorarios u operación subyacente en efectivo o al portador.</t>
        </is>
      </c>
      <c r="F323" s="208" t="inlineStr">
        <is>
          <t>Pago mediante cheque o transferencia con trazabilidad parcial.</t>
        </is>
      </c>
      <c r="G323" s="208" t="inlineStr">
        <is>
          <t>Pago mediante transferencia bancaria nominativa trazable.</t>
        </is>
      </c>
    </row>
    <row r="324" ht="18.75" customHeight="1" s="173">
      <c r="A324" s="208">
        <f>B324&amp;"-"&amp;C324</f>
        <v/>
      </c>
      <c r="B324" s="344" t="inlineStr">
        <is>
          <t>XI - Servicios Profesionales</t>
        </is>
      </c>
      <c r="C324" s="345" t="n">
        <v>19</v>
      </c>
      <c r="D324" s="208" t="inlineStr">
        <is>
          <t>Tipo de moneda</t>
        </is>
      </c>
      <c r="E324" s="208" t="inlineStr">
        <is>
          <t>Moneda extranjera distinta al USD o criptomonedas.</t>
        </is>
      </c>
      <c r="F324" s="208" t="inlineStr">
        <is>
          <t>Operación en dolares estadounidenses (USD).</t>
        </is>
      </c>
      <c r="G324" s="208" t="inlineStr">
        <is>
          <t>Operación en pesos mexicanos.</t>
        </is>
      </c>
    </row>
    <row r="325" ht="18.75" customHeight="1" s="173">
      <c r="A325" s="208">
        <f>B325&amp;"-"&amp;C325</f>
        <v/>
      </c>
      <c r="B325" s="344" t="inlineStr">
        <is>
          <t>XI - Servicios Profesionales</t>
        </is>
      </c>
      <c r="C325" s="345" t="n">
        <v>20</v>
      </c>
      <c r="D325" s="208" t="inlineStr">
        <is>
          <t>Monto frente a umbrales LFPIORPI</t>
        </is>
      </c>
      <c r="E325" s="208" t="inlineStr">
        <is>
          <t>Aviso obligatorio siempre; servicio de alto valor o con senales de riesgo.</t>
        </is>
      </c>
      <c r="F325" s="208" t="inlineStr">
        <is>
          <t>Aviso obligatorio siempre; servicio de valor intermedio.</t>
        </is>
      </c>
      <c r="G325" s="208" t="inlineStr">
        <is>
          <t>Aviso obligatorio siempre; servicio de bajo valor y documentado.</t>
        </is>
      </c>
    </row>
    <row r="326" ht="18.75" customHeight="1" s="173">
      <c r="A326" s="208">
        <f>B326&amp;"-"&amp;C326</f>
        <v/>
      </c>
      <c r="B326" s="344" t="inlineStr">
        <is>
          <t>XI - Servicios Profesionales</t>
        </is>
      </c>
      <c r="C326" s="345" t="n">
        <v>21</v>
      </c>
      <c r="D326" s="208" t="inlineStr">
        <is>
          <t>Frecuencia (fraccionamiento)</t>
        </is>
      </c>
      <c r="E326" s="208" t="inlineStr">
        <is>
          <t>Servicios frecuentes o fraccionados para eludir umbrales o controles.</t>
        </is>
      </c>
      <c r="F326" s="208" t="inlineStr">
        <is>
          <t>Recurrencia moderada sin patron evidente de fraccionamiento.</t>
        </is>
      </c>
      <c r="G326" s="208" t="inlineStr">
        <is>
          <t>Servicio único u ocasional, congruente con el perfil.</t>
        </is>
      </c>
    </row>
    <row r="327" ht="18.75" customHeight="1" s="173">
      <c r="A327" s="208">
        <f>B327&amp;"-"&amp;C327</f>
        <v/>
      </c>
      <c r="B327" s="344" t="inlineStr">
        <is>
          <t>XI - Servicios Profesionales</t>
        </is>
      </c>
      <c r="C327" s="345" t="n">
        <v>22</v>
      </c>
      <c r="D327" s="208" t="inlineStr">
        <is>
          <t>Canal (presencial / no presencial / terceros)</t>
        </is>
      </c>
      <c r="E327" s="208" t="inlineStr">
        <is>
          <t>Operación no presencial o a traves de terceros sin contacto directo.</t>
        </is>
      </c>
      <c r="F327" s="208" t="inlineStr">
        <is>
          <t>Contacto mixto o mediante representante identificado.</t>
        </is>
      </c>
      <c r="G327" s="208" t="inlineStr">
        <is>
          <t>Cliente atendido de forma presencial y directa.</t>
        </is>
      </c>
    </row>
    <row r="328" ht="18.75" customHeight="1" s="173">
      <c r="A328" s="208">
        <f>B328&amp;"-"&amp;C328</f>
        <v/>
      </c>
      <c r="B328" s="344" t="inlineStr">
        <is>
          <t>XI - Servicios Profesionales</t>
        </is>
      </c>
      <c r="C328" s="345" t="n">
        <v>23</v>
      </c>
      <c r="D328" s="208" t="inlineStr">
        <is>
          <t>Origen de los recursos</t>
        </is>
      </c>
      <c r="E328" s="208" t="inlineStr">
        <is>
          <t>Recursos del cliente de origen no acreditable, en efectivo o informal.</t>
        </is>
      </c>
      <c r="F328" s="208" t="inlineStr">
        <is>
          <t>Origen de los recursos con soporte parcial.</t>
        </is>
      </c>
      <c r="G328" s="208" t="inlineStr">
        <is>
          <t>Recursos de origen lícito plenamente documentado.</t>
        </is>
      </c>
    </row>
    <row r="329" ht="18.75" customHeight="1" s="173">
      <c r="A329" s="208">
        <f>B329&amp;"-"&amp;C329</f>
        <v/>
      </c>
      <c r="B329" s="344" t="inlineStr">
        <is>
          <t>XI - Servicios Profesionales</t>
        </is>
      </c>
      <c r="C329" s="345" t="n">
        <v>24</v>
      </c>
      <c r="D329" s="208" t="inlineStr">
        <is>
          <t>Destino de los recursos</t>
        </is>
      </c>
      <c r="E329" s="208" t="inlineStr">
        <is>
          <t>Destino de los recursos opaco, a terceros o al exterior sin justificación.</t>
        </is>
      </c>
      <c r="F329" s="208" t="inlineStr">
        <is>
          <t>Destino de los recursos parcialmente justificado.</t>
        </is>
      </c>
      <c r="G329" s="208" t="inlineStr">
        <is>
          <t>Destino claro, documentado y congruente con el servicio.</t>
        </is>
      </c>
    </row>
    <row r="330" ht="18.75" customHeight="1" s="173">
      <c r="A330" s="208">
        <f>B330&amp;"-"&amp;C330</f>
        <v/>
      </c>
      <c r="B330" s="344" t="inlineStr">
        <is>
          <t>XI - Servicios Profesionales</t>
        </is>
      </c>
      <c r="C330" s="345" t="n">
        <v>25</v>
      </c>
      <c r="D330" s="208" t="inlineStr">
        <is>
          <t>Canales e instrumentos idóneos para el financiamiento al terrorismo</t>
        </is>
      </c>
      <c r="E330" s="208" t="inlineStr">
        <is>
          <t>La operación se realiza mediante instrucciones recibidas a distancia de personas que no acreditan representación, es decir, medios que permiten mover valor en montos pequeños sin identificar al destinatario final.</t>
        </is>
      </c>
      <c r="F330" s="208" t="inlineStr">
        <is>
          <t>Canal mixto o con verificación parcial: hay registro de la operación pero la trazabilidad del destinatario final es incompleta.</t>
        </is>
      </c>
      <c r="G330" s="208" t="inlineStr">
        <is>
          <t>Cliente identificado de forma directa, con mandato y alcance del servicio documentados, con trazabilidad completa del origen y del destinatario.</t>
        </is>
      </c>
    </row>
    <row r="331" ht="18.75" customHeight="1" s="173">
      <c r="A331" s="208">
        <f>B331&amp;"-"&amp;C331</f>
        <v/>
      </c>
      <c r="B331" s="344" t="inlineStr">
        <is>
          <t>XII - NOTARIOS: Transmisión de inmuebles</t>
        </is>
      </c>
      <c r="C331" s="345" t="n">
        <v>1</v>
      </c>
      <c r="D331" s="208" t="inlineStr">
        <is>
          <t>Valor del producto o servicio</t>
        </is>
      </c>
      <c r="E331" s="208" t="inlineStr">
        <is>
          <t>Transmisión de inmuebles de alto valor, muy superior al avalúo o mercado.</t>
        </is>
      </c>
      <c r="F331" s="208" t="inlineStr">
        <is>
          <t>Transmisión de inmuebles de valor intermedio conforme a mercado.</t>
        </is>
      </c>
      <c r="G331" s="208" t="inlineStr">
        <is>
          <t>Transmisión de inmuebles de bajo valor o vivienda social.</t>
        </is>
      </c>
    </row>
    <row r="332" ht="18.75" customHeight="1" s="173">
      <c r="A332" s="208">
        <f>B332&amp;"-"&amp;C332</f>
        <v/>
      </c>
      <c r="B332" s="344" t="inlineStr">
        <is>
          <t>XII - NOTARIOS: Transmisión de inmuebles</t>
        </is>
      </c>
      <c r="C332" s="345" t="n">
        <v>2</v>
      </c>
      <c r="D332" s="208" t="inlineStr">
        <is>
          <t>Liquidez / convertibilidad</t>
        </is>
      </c>
      <c r="E332" s="208" t="inlineStr">
        <is>
          <t>Inmueble de fácil reventa o cesión inmediata tras la escrituración.</t>
        </is>
      </c>
      <c r="F332" s="208" t="inlineStr">
        <is>
          <t>Reventa posible sujeta a formalización y plazos.</t>
        </is>
      </c>
      <c r="G332" s="208" t="inlineStr">
        <is>
          <t>Inmueble de baja liquidez con destino de uso propio.</t>
        </is>
      </c>
    </row>
    <row r="333" ht="18.75" customHeight="1" s="173">
      <c r="A333" s="208">
        <f>B333&amp;"-"&amp;C333</f>
        <v/>
      </c>
      <c r="B333" s="344" t="inlineStr">
        <is>
          <t>XII - NOTARIOS: Transmisión de inmuebles</t>
        </is>
      </c>
      <c r="C333" s="345" t="n">
        <v>3</v>
      </c>
      <c r="D333" s="208" t="inlineStr">
        <is>
          <t>Anonimato / identificación del beneficiario</t>
        </is>
      </c>
      <c r="E333" s="208" t="inlineStr">
        <is>
          <t>Adquirente vía prestanombres o estructura que oculta al beneficiario final.</t>
        </is>
      </c>
      <c r="F333" s="208" t="inlineStr">
        <is>
          <t>Parte identificada con beneficiario final parcialmente documentado.</t>
        </is>
      </c>
      <c r="G333" s="208" t="inlineStr">
        <is>
          <t>Otorgante y adquirente con beneficiario final plenamente identificado.</t>
        </is>
      </c>
    </row>
    <row r="334" ht="18.75" customHeight="1" s="173">
      <c r="A334" s="208">
        <f>B334&amp;"-"&amp;C334</f>
        <v/>
      </c>
      <c r="B334" s="344" t="inlineStr">
        <is>
          <t>XII - NOTARIOS: Transmisión de inmuebles</t>
        </is>
      </c>
      <c r="C334" s="345" t="n">
        <v>4</v>
      </c>
      <c r="D334" s="208" t="inlineStr">
        <is>
          <t>Transferencia u ocultamiento de valor</t>
        </is>
      </c>
      <c r="E334" s="208" t="inlineStr">
        <is>
          <t>La escritura legitima recursos ilícitos mediante sobrevaluación o simulación de compraventa.</t>
        </is>
      </c>
      <c r="F334" s="208" t="inlineStr">
        <is>
          <t>Riesgo moderado de ocultamiento con pagos parcialmente trazables.</t>
        </is>
      </c>
      <c r="G334" s="208" t="inlineStr">
        <is>
          <t>Contraprestación bancarizada y trazable, sin margen de simulación.</t>
        </is>
      </c>
    </row>
    <row r="335" ht="18.75" customHeight="1" s="173">
      <c r="A335" s="208">
        <f>B335&amp;"-"&amp;C335</f>
        <v/>
      </c>
      <c r="B335" s="344" t="inlineStr">
        <is>
          <t>XII - NOTARIOS: Transmisión de inmuebles</t>
        </is>
      </c>
      <c r="C335" s="345" t="n">
        <v>5</v>
      </c>
      <c r="D335" s="208" t="inlineStr">
        <is>
          <t>Exposición del acto u operación al financiamiento al terrorismo</t>
        </is>
      </c>
      <c r="E335" s="208" t="inlineStr">
        <is>
          <t>Transmisión de inmuebles a favor de personas o asociaciones señaladas en listas de sanciones, o con recursos remitidos desde jurisdicciones en conflicto.</t>
        </is>
      </c>
      <c r="F335" s="208" t="inlineStr">
        <is>
          <t>Otorgantes no residentes o representados por apoderados, sin coincidencias en listas.</t>
        </is>
      </c>
      <c r="G335" s="208" t="inlineStr">
        <is>
          <t>Partes identificadas y comparecientes, con recursos bancarizados y origen documentado.</t>
        </is>
      </c>
    </row>
    <row r="336" ht="18.75" customHeight="1" s="173">
      <c r="A336" s="208">
        <f>B336&amp;"-"&amp;C336</f>
        <v/>
      </c>
      <c r="B336" s="344" t="inlineStr">
        <is>
          <t>XII - NOTARIOS: Transmisión de inmuebles</t>
        </is>
      </c>
      <c r="C336" s="345" t="n">
        <v>6</v>
      </c>
      <c r="D336" s="208" t="inlineStr">
        <is>
          <t>Tipo de persona y estructura</t>
        </is>
      </c>
      <c r="E336" s="208" t="inlineStr">
        <is>
          <t>Parte persona moral extranjera, fideicomiso o estructura opaca.</t>
        </is>
      </c>
      <c r="F336" s="208" t="inlineStr">
        <is>
          <t>Persona moral nacional con estructura clara.</t>
        </is>
      </c>
      <c r="G336" s="208" t="inlineStr">
        <is>
          <t>Persona física residente plenamente identificada.</t>
        </is>
      </c>
    </row>
    <row r="337" ht="18.75" customHeight="1" s="173">
      <c r="A337" s="208">
        <f>B337&amp;"-"&amp;C337</f>
        <v/>
      </c>
      <c r="B337" s="344" t="inlineStr">
        <is>
          <t>XII - NOTARIOS: Transmisión de inmuebles</t>
        </is>
      </c>
      <c r="C337" s="345" t="n">
        <v>7</v>
      </c>
      <c r="D337" s="208" t="inlineStr">
        <is>
          <t>Edad / fecha de constitución</t>
        </is>
      </c>
      <c r="E337" s="208" t="inlineStr">
        <is>
          <t>Adquirente persona física muy joven o empresa de reciente creación sin historial.</t>
        </is>
      </c>
      <c r="F337" s="208" t="inlineStr">
        <is>
          <t>Empresa con antigüedad moderada o perfil estándar.</t>
        </is>
      </c>
      <c r="G337" s="208" t="inlineStr">
        <is>
          <t>Parte con trayectoria y antigüedad acreditable.</t>
        </is>
      </c>
    </row>
    <row r="338" ht="18.75" customHeight="1" s="173">
      <c r="A338" s="208">
        <f>B338&amp;"-"&amp;C338</f>
        <v/>
      </c>
      <c r="B338" s="344" t="inlineStr">
        <is>
          <t>XII - NOTARIOS: Transmisión de inmuebles</t>
        </is>
      </c>
      <c r="C338" s="345" t="n">
        <v>8</v>
      </c>
      <c r="D338" s="208" t="inlineStr">
        <is>
          <t>Actividad económica o giro (y fuente de ingresos)</t>
        </is>
      </c>
      <c r="E338" s="208" t="inlineStr">
        <is>
          <t>Giro informal de la parte, uso intensivo de efectivo o ligado a otras AV.</t>
        </is>
      </c>
      <c r="F338" s="208" t="inlineStr">
        <is>
          <t>Giro formal con manejo parcial de efectivo.</t>
        </is>
      </c>
      <c r="G338" s="208" t="inlineStr">
        <is>
          <t>Giro formal con ingresos documentados y bancarizados.</t>
        </is>
      </c>
    </row>
    <row r="339" ht="18.75" customHeight="1" s="173">
      <c r="A339" s="208">
        <f>B339&amp;"-"&amp;C339</f>
        <v/>
      </c>
      <c r="B339" s="344" t="inlineStr">
        <is>
          <t>XII - NOTARIOS: Transmisión de inmuebles</t>
        </is>
      </c>
      <c r="C339" s="345" t="n">
        <v>9</v>
      </c>
      <c r="D339" s="208" t="inlineStr">
        <is>
          <t>Nacionalidad del cliente</t>
        </is>
      </c>
      <c r="E339" s="208" t="inlineStr">
        <is>
          <t>Nacionalidad de país en listas GAFI, sancionado o régimen fiscal preferente.</t>
        </is>
      </c>
      <c r="F339" s="208" t="inlineStr">
        <is>
          <t>Nacionalidad de país sin deficiencias relevantes en PLD.</t>
        </is>
      </c>
      <c r="G339" s="208" t="inlineStr">
        <is>
          <t>Nacionalidad mexicana o de país con controles PLD robustos.</t>
        </is>
      </c>
    </row>
    <row r="340" ht="18.75" customHeight="1" s="173">
      <c r="A340" s="208">
        <f>B340&amp;"-"&amp;C340</f>
        <v/>
      </c>
      <c r="B340" s="344" t="inlineStr">
        <is>
          <t>XII - NOTARIOS: Transmisión de inmuebles</t>
        </is>
      </c>
      <c r="C340" s="345" t="n">
        <v>10</v>
      </c>
      <c r="D340" s="208" t="inlineStr">
        <is>
          <t>País (y en su caso, estado) de residencia del cliente</t>
        </is>
      </c>
      <c r="E340" s="208" t="inlineStr">
        <is>
          <t>Residencia de la parte en jurisdicción de alto riesgo o no verificable.</t>
        </is>
      </c>
      <c r="F340" s="208" t="inlineStr">
        <is>
          <t>Residencia verificable en jurisdicción de riesgo medio.</t>
        </is>
      </c>
      <c r="G340" s="208" t="inlineStr">
        <is>
          <t>Residencia nacional comprobable y estable.</t>
        </is>
      </c>
    </row>
    <row r="341" ht="18.75" customHeight="1" s="173">
      <c r="A341" s="208">
        <f>B341&amp;"-"&amp;C341</f>
        <v/>
      </c>
      <c r="B341" s="344" t="inlineStr">
        <is>
          <t>XII - NOTARIOS: Transmisión de inmuebles</t>
        </is>
      </c>
      <c r="C341" s="345" t="n">
        <v>11</v>
      </c>
      <c r="D341" s="208" t="inlineStr">
        <is>
          <t>Condición PEP</t>
        </is>
      </c>
      <c r="E341" s="208" t="inlineStr">
        <is>
          <t>Parte PEP nacional o extranjera, o allegado a PEP.</t>
        </is>
      </c>
      <c r="F341" s="208" t="inlineStr">
        <is>
          <t>Vínculo indirecto o lejano con PEP.</t>
        </is>
      </c>
      <c r="G341" s="208" t="inlineStr">
        <is>
          <t>Sin condición ni vínculo PEP.</t>
        </is>
      </c>
    </row>
    <row r="342" ht="18.75" customHeight="1" s="173">
      <c r="A342" s="208">
        <f>B342&amp;"-"&amp;C342</f>
        <v/>
      </c>
      <c r="B342" s="344" t="inlineStr">
        <is>
          <t>XII - NOTARIOS: Transmisión de inmuebles</t>
        </is>
      </c>
      <c r="C342" s="345" t="n">
        <v>12</v>
      </c>
      <c r="D342" s="208" t="inlineStr">
        <is>
          <t>Coincidencia en listas de personas bloqueadas o de sanciones</t>
        </is>
      </c>
      <c r="E342" s="208" t="inlineStr">
        <is>
          <t>El otorgante, su beneficiario controlador, apoderado o contraparte aparece en la Lista de Personas Bloqueadas, en listas de sanciones o en listas de organizaciones terroristas, o presenta una coincidencia fuerte que no ha sido descartada.</t>
        </is>
      </c>
      <c r="F342" s="208" t="inlineStr">
        <is>
          <t>Se detecta coincidencia parcial u homonimia respecto del otorgante o de alguna persona relacionada, y el descarte se encuentra en proceso con constancia documental.</t>
        </is>
      </c>
      <c r="G342" s="208" t="inlineStr">
        <is>
          <t>Búsqueda realizada y documentada sobre el otorgante y sus personas relacionadas, sin coincidencias.</t>
        </is>
      </c>
    </row>
    <row r="343" ht="18.75" customHeight="1" s="173">
      <c r="A343" s="208">
        <f>B343&amp;"-"&amp;C343</f>
        <v/>
      </c>
      <c r="B343" s="344" t="inlineStr">
        <is>
          <t>XII - NOTARIOS: Transmisión de inmuebles</t>
        </is>
      </c>
      <c r="C343" s="345" t="n">
        <v>13</v>
      </c>
      <c r="D343" s="208" t="inlineStr">
        <is>
          <t>Identificación y complejidad del Beneficiario Controlador</t>
        </is>
      </c>
      <c r="E343" s="208" t="inlineStr">
        <is>
          <t>No se logra identificar al beneficiario controlador del otorgante, o la estructura interpone dos o más niveles societarios, fiduciarios o vehículos constituidos en el extranjero para llegar al 25 por ciento.</t>
        </is>
      </c>
      <c r="F343" s="208" t="inlineStr">
        <is>
          <t>Beneficiario controlador identificado, pero a través de una estructura de más de un nivel o con participación indirecta que exigió reconstruir la cadena de control con documentos.</t>
        </is>
      </c>
      <c r="G343" s="208" t="inlineStr">
        <is>
          <t>Beneficiario controlador identificado de forma directa y documentada: persona física que posee al menos el 25 por ciento o que ejerce el control por otra vía acreditada.</t>
        </is>
      </c>
    </row>
    <row r="344" ht="18.75" customHeight="1" s="173">
      <c r="A344" s="208">
        <f>B344&amp;"-"&amp;C344</f>
        <v/>
      </c>
      <c r="B344" s="344" t="inlineStr">
        <is>
          <t>XII - NOTARIOS: Transmisión de inmuebles</t>
        </is>
      </c>
      <c r="C344" s="345" t="n">
        <v>14</v>
      </c>
      <c r="D344" s="208" t="inlineStr">
        <is>
          <t>País / jurisdicción donde se realiza la operación</t>
        </is>
      </c>
      <c r="E344" s="208" t="inlineStr">
        <is>
          <t>Operación con recursos provenientes de o hacia jurisdicción de alto riesgo.</t>
        </is>
      </c>
      <c r="F344" s="208" t="inlineStr">
        <is>
          <t>Componente internacional de riesgo medio.</t>
        </is>
      </c>
      <c r="G344" s="208" t="inlineStr">
        <is>
          <t>Operación íntegramente nacional.</t>
        </is>
      </c>
    </row>
    <row r="345" ht="18.75" customHeight="1" s="173">
      <c r="A345" s="208">
        <f>B345&amp;"-"&amp;C345</f>
        <v/>
      </c>
      <c r="B345" s="344" t="inlineStr">
        <is>
          <t>XII - NOTARIOS: Transmisión de inmuebles</t>
        </is>
      </c>
      <c r="C345" s="345" t="n">
        <v>15</v>
      </c>
      <c r="D345" s="208" t="inlineStr">
        <is>
          <t>Área geográfica nacional de la operación</t>
        </is>
      </c>
      <c r="E345" s="208" t="inlineStr">
        <is>
          <t>Inmueble ubicado en zona de alta incidencia delictiva, marginación o frontera.</t>
        </is>
      </c>
      <c r="F345" s="208" t="inlineStr">
        <is>
          <t>Zona urbana consolidada de riesgo intermedio.</t>
        </is>
      </c>
      <c r="G345" s="208" t="inlineStr">
        <is>
          <t>Zona de baja incidencia delictiva y buena trazabilidad.</t>
        </is>
      </c>
    </row>
    <row r="346" ht="18.75" customHeight="1" s="173">
      <c r="A346" s="208">
        <f>B346&amp;"-"&amp;C346</f>
        <v/>
      </c>
      <c r="B346" s="344" t="inlineStr">
        <is>
          <t>XII - NOTARIOS: Transmisión de inmuebles</t>
        </is>
      </c>
      <c r="C346" s="345" t="n">
        <v>16</v>
      </c>
      <c r="D346" s="208" t="inlineStr">
        <is>
          <t>Vínculo con jurisdicciones sancionadas, en conflicto o de acción requerida por el GAFI</t>
        </is>
      </c>
      <c r="E346" s="208" t="inlineStr">
        <is>
          <t>Existe exposición a jurisdicciones sancionadas, en conflicto armado o de acción requerida del GAFI, por la vía de otorgantes no residentes o pago de la contraprestación desde el extranjero.</t>
        </is>
      </c>
      <c r="F346" s="208" t="inlineStr">
        <is>
          <t>Vínculo con jurisdicciones bajo monitoreo intensificado del GAFI o con deficiencias señaladas en la ENR, sin estar sancionadas ni en conflicto.</t>
        </is>
      </c>
      <c r="G346" s="208" t="inlineStr">
        <is>
          <t>Sin vínculo con jurisdicciones sancionadas, en conflicto o listadas por el GAFI; la operación y sus partes se ubican en plazas sin señalamientos.</t>
        </is>
      </c>
    </row>
    <row r="347" ht="18.75" customHeight="1" s="173">
      <c r="A347" s="208">
        <f>B347&amp;"-"&amp;C347</f>
        <v/>
      </c>
      <c r="B347" s="344" t="inlineStr">
        <is>
          <t>XII - NOTARIOS: Transmisión de inmuebles</t>
        </is>
      </c>
      <c r="C347" s="345" t="n">
        <v>17</v>
      </c>
      <c r="D347" s="208" t="inlineStr">
        <is>
          <t>Congruencia entre el domicilio del Cliente y el lugar de la operación</t>
        </is>
      </c>
      <c r="E347" s="208" t="inlineStr">
        <is>
          <t>El domicilio del otorgante no guarda relación económica ni logística con el lugar donde se realiza la transmisión del inmueble, y no existe explicación documentada del desplazamiento.</t>
        </is>
      </c>
      <c r="F347" s="208" t="inlineStr">
        <is>
          <t>Existe distancia relevante entre el domicilio del otorgante y el lugar de la operación, con explicación plausible pero no soportada en el expediente.</t>
        </is>
      </c>
      <c r="G347" s="208" t="inlineStr">
        <is>
          <t>El domicilio del otorgante corresponde a la plaza donde se realiza la transmisión del inmueble, o el desplazamiento está justificado y documentado.</t>
        </is>
      </c>
    </row>
    <row r="348" ht="18.75" customHeight="1" s="173">
      <c r="A348" s="208">
        <f>B348&amp;"-"&amp;C348</f>
        <v/>
      </c>
      <c r="B348" s="344" t="inlineStr">
        <is>
          <t>XII - NOTARIOS: Transmisión de inmuebles</t>
        </is>
      </c>
      <c r="C348" s="345" t="n">
        <v>18</v>
      </c>
      <c r="D348" s="208" t="inlineStr">
        <is>
          <t>Instrumento monetario</t>
        </is>
      </c>
      <c r="E348" s="208" t="inlineStr">
        <is>
          <t>Contraprestación en efectivo, instrumentos al portador o criptoactivos.</t>
        </is>
      </c>
      <c r="F348" s="208" t="inlineStr">
        <is>
          <t>Pagos mixtos con efectivo parcial y transferencias.</t>
        </is>
      </c>
      <c r="G348" s="208" t="inlineStr">
        <is>
          <t>Contraprestación íntegra por transferencia o crédito hipotecario.</t>
        </is>
      </c>
    </row>
    <row r="349" ht="18.75" customHeight="1" s="173">
      <c r="A349" s="208">
        <f>B349&amp;"-"&amp;C349</f>
        <v/>
      </c>
      <c r="B349" s="344" t="inlineStr">
        <is>
          <t>XII - NOTARIOS: Transmisión de inmuebles</t>
        </is>
      </c>
      <c r="C349" s="345" t="n">
        <v>19</v>
      </c>
      <c r="D349" s="208" t="inlineStr">
        <is>
          <t>Tipo de moneda</t>
        </is>
      </c>
      <c r="E349" s="208" t="inlineStr">
        <is>
          <t>Pago en moneda extranjera distinta al USD o en criptomonedas.</t>
        </is>
      </c>
      <c r="F349" s="208" t="inlineStr">
        <is>
          <t>Pago en USD con soporte documental.</t>
        </is>
      </c>
      <c r="G349" s="208" t="inlineStr">
        <is>
          <t>Pago en pesos mexicanos.</t>
        </is>
      </c>
    </row>
    <row r="350" ht="18.75" customHeight="1" s="173">
      <c r="A350" s="208">
        <f>B350&amp;"-"&amp;C350</f>
        <v/>
      </c>
      <c r="B350" s="344" t="inlineStr">
        <is>
          <t>XII - NOTARIOS: Transmisión de inmuebles</t>
        </is>
      </c>
      <c r="C350" s="345" t="n">
        <v>20</v>
      </c>
      <c r="D350" s="208" t="inlineStr">
        <is>
          <t>Monto frente a umbrales LFPIORPI</t>
        </is>
      </c>
      <c r="E350" s="208" t="inlineStr">
        <is>
          <t>Valor de la operación supera ampliamente el umbral de aviso (8,000 UMA).</t>
        </is>
      </c>
      <c r="F350" s="208" t="inlineStr">
        <is>
          <t>Valor cercano al umbral de aviso sin superarlo.</t>
        </is>
      </c>
      <c r="G350" s="208" t="inlineStr">
        <is>
          <t>Valor muy por debajo del umbral de aviso.</t>
        </is>
      </c>
    </row>
    <row r="351" ht="18.75" customHeight="1" s="173">
      <c r="A351" s="208">
        <f>B351&amp;"-"&amp;C351</f>
        <v/>
      </c>
      <c r="B351" s="344" t="inlineStr">
        <is>
          <t>XII - NOTARIOS: Transmisión de inmuebles</t>
        </is>
      </c>
      <c r="C351" s="345" t="n">
        <v>21</v>
      </c>
      <c r="D351" s="208" t="inlineStr">
        <is>
          <t>Frecuencia (fraccionamiento)</t>
        </is>
      </c>
      <c r="E351" s="208" t="inlineStr">
        <is>
          <t>Operaciones sucesivas o fraccionadas de la misma parte para eludir umbrales.</t>
        </is>
      </c>
      <c r="F351" s="208" t="inlineStr">
        <is>
          <t>Operaciones espaciadas con justificación patrimonial.</t>
        </is>
      </c>
      <c r="G351" s="208" t="inlineStr">
        <is>
          <t>Operación única sin patrón de fraccionamiento.</t>
        </is>
      </c>
    </row>
    <row r="352" ht="18.75" customHeight="1" s="173">
      <c r="A352" s="208">
        <f>B352&amp;"-"&amp;C352</f>
        <v/>
      </c>
      <c r="B352" s="344" t="inlineStr">
        <is>
          <t>XII - NOTARIOS: Transmisión de inmuebles</t>
        </is>
      </c>
      <c r="C352" s="345" t="n">
        <v>22</v>
      </c>
      <c r="D352" s="208" t="inlineStr">
        <is>
          <t>Canal (presencial / no presencial / terceros)</t>
        </is>
      </c>
      <c r="E352" s="208" t="inlineStr">
        <is>
          <t>Escrituración mediante apoderado o terceros sin contacto directo con las partes.</t>
        </is>
      </c>
      <c r="F352" s="208" t="inlineStr">
        <is>
          <t>Representación con poder documentado y verificado.</t>
        </is>
      </c>
      <c r="G352" s="208" t="inlineStr">
        <is>
          <t>Comparecencia presencial de las partes ante el notario.</t>
        </is>
      </c>
    </row>
    <row r="353" ht="18.75" customHeight="1" s="173">
      <c r="A353" s="208">
        <f>B353&amp;"-"&amp;C353</f>
        <v/>
      </c>
      <c r="B353" s="344" t="inlineStr">
        <is>
          <t>XII - NOTARIOS: Transmisión de inmuebles</t>
        </is>
      </c>
      <c r="C353" s="345" t="n">
        <v>23</v>
      </c>
      <c r="D353" s="208" t="inlineStr">
        <is>
          <t>Origen de los recursos</t>
        </is>
      </c>
      <c r="E353" s="208" t="inlineStr">
        <is>
          <t>Origen de la contraprestación no acreditable, en efectivo o informal.</t>
        </is>
      </c>
      <c r="F353" s="208" t="inlineStr">
        <is>
          <t>Origen parcialmente documentado con soporte incompleto.</t>
        </is>
      </c>
      <c r="G353" s="208" t="inlineStr">
        <is>
          <t>Origen acreditado con documentación financiera y fiscal.</t>
        </is>
      </c>
    </row>
    <row r="354" ht="18.75" customHeight="1" s="173">
      <c r="A354" s="208">
        <f>B354&amp;"-"&amp;C354</f>
        <v/>
      </c>
      <c r="B354" s="344" t="inlineStr">
        <is>
          <t>XII - NOTARIOS: Transmisión de inmuebles</t>
        </is>
      </c>
      <c r="C354" s="345" t="n">
        <v>24</v>
      </c>
      <c r="D354" s="208" t="inlineStr">
        <is>
          <t>Destino de los recursos</t>
        </is>
      </c>
      <c r="E354" s="208" t="inlineStr">
        <is>
          <t>Destino opaco: reventa inmediata, cesión a terceros o salida al exterior sin justificar.</t>
        </is>
      </c>
      <c r="F354" s="208" t="inlineStr">
        <is>
          <t>Destino declarado con justificación parcial.</t>
        </is>
      </c>
      <c r="G354" s="208" t="inlineStr">
        <is>
          <t>Destino claro: uso propio o inversión documentada.</t>
        </is>
      </c>
    </row>
    <row r="355" ht="18.75" customHeight="1" s="173">
      <c r="A355" s="208">
        <f>B355&amp;"-"&amp;C355</f>
        <v/>
      </c>
      <c r="B355" s="344" t="inlineStr">
        <is>
          <t>XII - NOTARIOS: Transmisión de inmuebles</t>
        </is>
      </c>
      <c r="C355" s="345" t="n">
        <v>25</v>
      </c>
      <c r="D355" s="208" t="inlineStr">
        <is>
          <t>Canales e instrumentos idóneos para el financiamiento al terrorismo</t>
        </is>
      </c>
      <c r="E355" s="208" t="inlineStr">
        <is>
          <t>La operación se realiza mediante comparecencia por apoderado sin acreditar al beneficiario y pago parcial en efectivo, es decir, medios que permiten mover valor en montos pequeños sin identificar al destinatario final.</t>
        </is>
      </c>
      <c r="F355" s="208" t="inlineStr">
        <is>
          <t>Canal mixto o con verificación parcial: hay registro de la operación pero la trazabilidad del destinatario final es incompleta.</t>
        </is>
      </c>
      <c r="G355" s="208" t="inlineStr">
        <is>
          <t>Comparecencia directa de las partes identificadas y pago bancarizado documentado, con trazabilidad completa del origen y del destinatario.</t>
        </is>
      </c>
    </row>
    <row r="356" ht="18.75" customHeight="1" s="173">
      <c r="A356" s="208">
        <f>B356&amp;"-"&amp;C356</f>
        <v/>
      </c>
      <c r="B356" s="344" t="inlineStr">
        <is>
          <t>XII - NOTARIOS: Poderes irrevocables</t>
        </is>
      </c>
      <c r="C356" s="345" t="n">
        <v>1</v>
      </c>
      <c r="D356" s="208" t="inlineStr">
        <is>
          <t>Valor del producto o servicio</t>
        </is>
      </c>
      <c r="E356" s="208" t="inlineStr">
        <is>
          <t>Poder general con facultades amplias sobre patrimonio de alto valor.</t>
        </is>
      </c>
      <c r="F356" s="208" t="inlineStr">
        <is>
          <t>Poder especial de gestion sobre bienes de valor intermedio.</t>
        </is>
      </c>
      <c r="G356" s="208" t="inlineStr">
        <is>
          <t>Poder limitado a actos concretos de valor reducido.</t>
        </is>
      </c>
    </row>
    <row r="357" ht="18.75" customHeight="1" s="173">
      <c r="A357" s="208">
        <f>B357&amp;"-"&amp;C357</f>
        <v/>
      </c>
      <c r="B357" s="344" t="inlineStr">
        <is>
          <t>XII - NOTARIOS: Poderes irrevocables</t>
        </is>
      </c>
      <c r="C357" s="345" t="n">
        <v>2</v>
      </c>
      <c r="D357" s="208" t="inlineStr">
        <is>
          <t>Liquidez / convertibilidad</t>
        </is>
      </c>
      <c r="E357" s="208" t="inlineStr">
        <is>
          <t>Faculta disponer, enajenar o gravar activos de inmediato.</t>
        </is>
      </c>
      <c r="F357" s="208" t="inlineStr">
        <is>
          <t>Permite gestionar bienes con facultades acotadas.</t>
        </is>
      </c>
      <c r="G357" s="208" t="inlineStr">
        <is>
          <t>No confiere facultades de disposición patrimonial.</t>
        </is>
      </c>
    </row>
    <row r="358" ht="18.75" customHeight="1" s="173">
      <c r="A358" s="208">
        <f>B358&amp;"-"&amp;C358</f>
        <v/>
      </c>
      <c r="B358" s="344" t="inlineStr">
        <is>
          <t>XII - NOTARIOS: Poderes irrevocables</t>
        </is>
      </c>
      <c r="C358" s="345" t="n">
        <v>3</v>
      </c>
      <c r="D358" s="208" t="inlineStr">
        <is>
          <t>Anonimato / identificación del beneficiario</t>
        </is>
      </c>
      <c r="E358" s="208" t="inlineStr">
        <is>
          <t>Permite que un tercero controle activos ocultando al beneficiario final.</t>
        </is>
      </c>
      <c r="F358" s="208" t="inlineStr">
        <is>
          <t>Apoderado identificado con vínculo parcialmente claro.</t>
        </is>
      </c>
      <c r="G358" s="208" t="inlineStr">
        <is>
          <t>Apoderado y poderdante plenamente identificados y vinculados.</t>
        </is>
      </c>
    </row>
    <row r="359" ht="18.75" customHeight="1" s="173">
      <c r="A359" s="208">
        <f>B359&amp;"-"&amp;C359</f>
        <v/>
      </c>
      <c r="B359" s="344" t="inlineStr">
        <is>
          <t>XII - NOTARIOS: Poderes irrevocables</t>
        </is>
      </c>
      <c r="C359" s="345" t="n">
        <v>4</v>
      </c>
      <c r="D359" s="208" t="inlineStr">
        <is>
          <t>Transferencia u ocultamiento de valor</t>
        </is>
      </c>
      <c r="E359" s="208" t="inlineStr">
        <is>
          <t>Facilita el control y traslado de activos sin figurar el dueño real.</t>
        </is>
      </c>
      <c r="F359" s="208" t="inlineStr">
        <is>
          <t>Permite actos patrimoniales con trazabilidad parcial.</t>
        </is>
      </c>
      <c r="G359" s="208" t="inlineStr">
        <is>
          <t>Poder sin capacidad de trasladar u ocultar valor.</t>
        </is>
      </c>
    </row>
    <row r="360" ht="18.75" customHeight="1" s="173">
      <c r="A360" s="208">
        <f>B360&amp;"-"&amp;C360</f>
        <v/>
      </c>
      <c r="B360" s="344" t="inlineStr">
        <is>
          <t>XII - NOTARIOS: Poderes irrevocables</t>
        </is>
      </c>
      <c r="C360" s="345" t="n">
        <v>5</v>
      </c>
      <c r="D360" s="208" t="inlineStr">
        <is>
          <t>Exposición del acto u operación al financiamiento al terrorismo</t>
        </is>
      </c>
      <c r="E360" s="208" t="inlineStr">
        <is>
          <t>Poderes de dominio o administración otorgados a favor de personas vinculadas con organizaciones señaladas en listas, que permiten disponer de bienes sin exponer al titular.</t>
        </is>
      </c>
      <c r="F360" s="208" t="inlineStr">
        <is>
          <t>Poderes amplios a favor de terceros sin relación acreditada, sin coincidencias en listas.</t>
        </is>
      </c>
      <c r="G360" s="208" t="inlineStr">
        <is>
          <t>Poder con objeto acotado, entre personas con vínculo acreditado y ambas identificadas.</t>
        </is>
      </c>
    </row>
    <row r="361" ht="18.75" customHeight="1" s="173">
      <c r="A361" s="208">
        <f>B361&amp;"-"&amp;C361</f>
        <v/>
      </c>
      <c r="B361" s="344" t="inlineStr">
        <is>
          <t>XII - NOTARIOS: Poderes irrevocables</t>
        </is>
      </c>
      <c r="C361" s="345" t="n">
        <v>6</v>
      </c>
      <c r="D361" s="208" t="inlineStr">
        <is>
          <t>Tipo de persona y estructura</t>
        </is>
      </c>
      <c r="E361" s="208" t="inlineStr">
        <is>
          <t>Poderdante persona moral extranjera o estructura opaca.</t>
        </is>
      </c>
      <c r="F361" s="208" t="inlineStr">
        <is>
          <t>Poderdante persona moral nacional estándar.</t>
        </is>
      </c>
      <c r="G361" s="208" t="inlineStr">
        <is>
          <t>Poderdante persona física identificada.</t>
        </is>
      </c>
    </row>
    <row r="362" ht="18.75" customHeight="1" s="173">
      <c r="A362" s="208">
        <f>B362&amp;"-"&amp;C362</f>
        <v/>
      </c>
      <c r="B362" s="344" t="inlineStr">
        <is>
          <t>XII - NOTARIOS: Poderes irrevocables</t>
        </is>
      </c>
      <c r="C362" s="345" t="n">
        <v>7</v>
      </c>
      <c r="D362" s="208" t="inlineStr">
        <is>
          <t>Edad / fecha de constitución</t>
        </is>
      </c>
      <c r="E362" s="208" t="inlineStr">
        <is>
          <t>Poderdante o apoderado de perfil atípico o entidad recién creada.</t>
        </is>
      </c>
      <c r="F362" s="208" t="inlineStr">
        <is>
          <t>Partes con antigüedad e historial intermedios.</t>
        </is>
      </c>
      <c r="G362" s="208" t="inlineStr">
        <is>
          <t>Partes consolidadas con historial verificable.</t>
        </is>
      </c>
    </row>
    <row r="363" ht="18.75" customHeight="1" s="173">
      <c r="A363" s="208">
        <f>B363&amp;"-"&amp;C363</f>
        <v/>
      </c>
      <c r="B363" s="344" t="inlineStr">
        <is>
          <t>XII - NOTARIOS: Poderes irrevocables</t>
        </is>
      </c>
      <c r="C363" s="345" t="n">
        <v>8</v>
      </c>
      <c r="D363" s="208" t="inlineStr">
        <is>
          <t>Actividad económica o giro (y fuente de ingresos)</t>
        </is>
      </c>
      <c r="E363" s="208" t="inlineStr">
        <is>
          <t>Poderdante con giro informal, en efectivo o ligado a otras AV.</t>
        </is>
      </c>
      <c r="F363" s="208" t="inlineStr">
        <is>
          <t>Giro formal de riesgo medio con ingresos documentables.</t>
        </is>
      </c>
      <c r="G363" s="208" t="inlineStr">
        <is>
          <t>Giro formal de bajo riesgo e ingresos claros.</t>
        </is>
      </c>
    </row>
    <row r="364" ht="18.75" customHeight="1" s="173">
      <c r="A364" s="208">
        <f>B364&amp;"-"&amp;C364</f>
        <v/>
      </c>
      <c r="B364" s="344" t="inlineStr">
        <is>
          <t>XII - NOTARIOS: Poderes irrevocables</t>
        </is>
      </c>
      <c r="C364" s="345" t="n">
        <v>9</v>
      </c>
      <c r="D364" s="208" t="inlineStr">
        <is>
          <t>Nacionalidad del cliente</t>
        </is>
      </c>
      <c r="E364" s="208" t="inlineStr">
        <is>
          <t>Cliente de país en listas GAFI, sancionado o de régimen fiscal preferente.</t>
        </is>
      </c>
      <c r="F364" s="208" t="inlineStr">
        <is>
          <t>Nacionalidad extranjera de país sin alertas relevantes.</t>
        </is>
      </c>
      <c r="G364" s="208" t="inlineStr">
        <is>
          <t>Cliente mexicano o de país cooperante sin observaciones.</t>
        </is>
      </c>
    </row>
    <row r="365" ht="18.75" customHeight="1" s="173">
      <c r="A365" s="208">
        <f>B365&amp;"-"&amp;C365</f>
        <v/>
      </c>
      <c r="B365" s="344" t="inlineStr">
        <is>
          <t>XII - NOTARIOS: Poderes irrevocables</t>
        </is>
      </c>
      <c r="C365" s="345" t="n">
        <v>10</v>
      </c>
      <c r="D365" s="208" t="inlineStr">
        <is>
          <t>País (y en su caso, estado) de residencia del cliente</t>
        </is>
      </c>
      <c r="E365" s="208" t="inlineStr">
        <is>
          <t>Reside en jurisdicción de alto riesgo o con domicilio no verificable.</t>
        </is>
      </c>
      <c r="F365" s="208" t="inlineStr">
        <is>
          <t>Reside en el extranjero en país cooperante, con domicilio comprobable.</t>
        </is>
      </c>
      <c r="G365" s="208" t="inlineStr">
        <is>
          <t>Residencia nacional verificada y estable.</t>
        </is>
      </c>
    </row>
    <row r="366" ht="18.75" customHeight="1" s="173">
      <c r="A366" s="208">
        <f>B366&amp;"-"&amp;C366</f>
        <v/>
      </c>
      <c r="B366" s="344" t="inlineStr">
        <is>
          <t>XII - NOTARIOS: Poderes irrevocables</t>
        </is>
      </c>
      <c r="C366" s="345" t="n">
        <v>11</v>
      </c>
      <c r="D366" s="208" t="inlineStr">
        <is>
          <t>Condición PEP</t>
        </is>
      </c>
      <c r="E366" s="208" t="inlineStr">
        <is>
          <t>PEP nacional o extranjera, o allegado que actua por su cuenta.</t>
        </is>
      </c>
      <c r="F366" s="208" t="inlineStr">
        <is>
          <t>Vinculo indirecto con PEP o PEP de perfil menor, monitoreado.</t>
        </is>
      </c>
      <c r="G366" s="208" t="inlineStr">
        <is>
          <t>Sin condición PEP ni vínculos con funcionarios.</t>
        </is>
      </c>
    </row>
    <row r="367" ht="18.75" customHeight="1" s="173">
      <c r="A367" s="208">
        <f>B367&amp;"-"&amp;C367</f>
        <v/>
      </c>
      <c r="B367" s="344" t="inlineStr">
        <is>
          <t>XII - NOTARIOS: Poderes irrevocables</t>
        </is>
      </c>
      <c r="C367" s="345" t="n">
        <v>12</v>
      </c>
      <c r="D367" s="208" t="inlineStr">
        <is>
          <t>Coincidencia en listas de personas bloqueadas o de sanciones</t>
        </is>
      </c>
      <c r="E367" s="208" t="inlineStr">
        <is>
          <t>El poderdante, su beneficiario controlador, apoderado o contraparte aparece en la Lista de Personas Bloqueadas, en listas de sanciones o en listas de organizaciones terroristas, o presenta una coincidencia fuerte que no ha sido descartada.</t>
        </is>
      </c>
      <c r="F367" s="208" t="inlineStr">
        <is>
          <t>Se detecta coincidencia parcial u homonimia respecto del poderdante o de alguna persona relacionada, y el descarte se encuentra en proceso con constancia documental.</t>
        </is>
      </c>
      <c r="G367" s="208" t="inlineStr">
        <is>
          <t>Búsqueda realizada y documentada sobre el poderdante y sus personas relacionadas, sin coincidencias.</t>
        </is>
      </c>
    </row>
    <row r="368" ht="18.75" customHeight="1" s="173">
      <c r="A368" s="208">
        <f>B368&amp;"-"&amp;C368</f>
        <v/>
      </c>
      <c r="B368" s="344" t="inlineStr">
        <is>
          <t>XII - NOTARIOS: Poderes irrevocables</t>
        </is>
      </c>
      <c r="C368" s="345" t="n">
        <v>13</v>
      </c>
      <c r="D368" s="208" t="inlineStr">
        <is>
          <t>Identificación y complejidad del Beneficiario Controlador</t>
        </is>
      </c>
      <c r="E368" s="208" t="inlineStr">
        <is>
          <t>No se logra identificar al beneficiario controlador del poderdante, o la estructura interpone dos o más niveles societarios, fiduciarios o vehículos constituidos en el extranjero para llegar al 25 por ciento.</t>
        </is>
      </c>
      <c r="F368" s="208" t="inlineStr">
        <is>
          <t>Beneficiario controlador identificado, pero a través de una estructura de más de un nivel o con participación indirecta que exigió reconstruir la cadena de control con documentos.</t>
        </is>
      </c>
      <c r="G368" s="208" t="inlineStr">
        <is>
          <t>Beneficiario controlador identificado de forma directa y documentada: persona física que posee al menos el 25 por ciento o que ejerce el control por otra vía acreditada.</t>
        </is>
      </c>
    </row>
    <row r="369" ht="18.75" customHeight="1" s="173">
      <c r="A369" s="208">
        <f>B369&amp;"-"&amp;C369</f>
        <v/>
      </c>
      <c r="B369" s="344" t="inlineStr">
        <is>
          <t>XII - NOTARIOS: Poderes irrevocables</t>
        </is>
      </c>
      <c r="C369" s="345" t="n">
        <v>14</v>
      </c>
      <c r="D369" s="208" t="inlineStr">
        <is>
          <t>País / jurisdicción donde se realiza la operación</t>
        </is>
      </c>
      <c r="E369" s="208" t="inlineStr">
        <is>
          <t>Operación con o desde jurisdicción de alto riesgo o no cooperante.</t>
        </is>
      </c>
      <c r="F369" s="208" t="inlineStr">
        <is>
          <t>Operación con componente internacional en país cooperante.</t>
        </is>
      </c>
      <c r="G369" s="208" t="inlineStr">
        <is>
          <t>Operación integramente nacional.</t>
        </is>
      </c>
    </row>
    <row r="370" ht="18.75" customHeight="1" s="173">
      <c r="A370" s="208">
        <f>B370&amp;"-"&amp;C370</f>
        <v/>
      </c>
      <c r="B370" s="344" t="inlineStr">
        <is>
          <t>XII - NOTARIOS: Poderes irrevocables</t>
        </is>
      </c>
      <c r="C370" s="345" t="n">
        <v>15</v>
      </c>
      <c r="D370" s="208" t="inlineStr">
        <is>
          <t>Área geográfica nacional de la operación</t>
        </is>
      </c>
      <c r="E370" s="208" t="inlineStr">
        <is>
          <t>Zona de alta incidencia delictiva, marginacion o frontera.</t>
        </is>
      </c>
      <c r="F370" s="208" t="inlineStr">
        <is>
          <t>Zona urbana ordinaria sin alertas particulares.</t>
        </is>
      </c>
      <c r="G370" s="208" t="inlineStr">
        <is>
          <t>Zona de bajo riesgo con actividad económica formal.</t>
        </is>
      </c>
    </row>
    <row r="371" ht="18.75" customHeight="1" s="173">
      <c r="A371" s="208">
        <f>B371&amp;"-"&amp;C371</f>
        <v/>
      </c>
      <c r="B371" s="344" t="inlineStr">
        <is>
          <t>XII - NOTARIOS: Poderes irrevocables</t>
        </is>
      </c>
      <c r="C371" s="345" t="n">
        <v>16</v>
      </c>
      <c r="D371" s="208" t="inlineStr">
        <is>
          <t>Vínculo con jurisdicciones sancionadas, en conflicto o de acción requerida por el GAFI</t>
        </is>
      </c>
      <c r="E371" s="208" t="inlineStr">
        <is>
          <t>Existe exposición a jurisdicciones sancionadas, en conflicto armado o de acción requerida del GAFI, por la vía de poderdantes o apoderados domiciliados en el extranjero.</t>
        </is>
      </c>
      <c r="F371" s="208" t="inlineStr">
        <is>
          <t>Vínculo con jurisdicciones bajo monitoreo intensificado del GAFI o con deficiencias señaladas en la ENR, sin estar sancionadas ni en conflicto.</t>
        </is>
      </c>
      <c r="G371" s="208" t="inlineStr">
        <is>
          <t>Sin vínculo con jurisdicciones sancionadas, en conflicto o listadas por el GAFI; la operación y sus partes se ubican en plazas sin señalamientos.</t>
        </is>
      </c>
    </row>
    <row r="372" ht="18.75" customHeight="1" s="173">
      <c r="A372" s="208">
        <f>B372&amp;"-"&amp;C372</f>
        <v/>
      </c>
      <c r="B372" s="344" t="inlineStr">
        <is>
          <t>XII - NOTARIOS: Poderes irrevocables</t>
        </is>
      </c>
      <c r="C372" s="345" t="n">
        <v>17</v>
      </c>
      <c r="D372" s="208" t="inlineStr">
        <is>
          <t>Congruencia entre el domicilio del Cliente y el lugar de la operación</t>
        </is>
      </c>
      <c r="E372" s="208" t="inlineStr">
        <is>
          <t>El domicilio del poderdante no guarda relación económica ni logística con el lugar donde se realiza el otorgamiento del poder irrevocable, y no existe explicación documentada del desplazamiento.</t>
        </is>
      </c>
      <c r="F372" s="208" t="inlineStr">
        <is>
          <t>Existe distancia relevante entre el domicilio del poderdante y el lugar de la operación, con explicación plausible pero no soportada en el expediente.</t>
        </is>
      </c>
      <c r="G372" s="208" t="inlineStr">
        <is>
          <t>El domicilio del poderdante corresponde a la plaza donde se realiza el otorgamiento del poder irrevocable, o el desplazamiento está justificado y documentado.</t>
        </is>
      </c>
    </row>
    <row r="373" ht="18.75" customHeight="1" s="173">
      <c r="A373" s="208">
        <f>B373&amp;"-"&amp;C373</f>
        <v/>
      </c>
      <c r="B373" s="344" t="inlineStr">
        <is>
          <t>XII - NOTARIOS: Poderes irrevocables</t>
        </is>
      </c>
      <c r="C373" s="345" t="n">
        <v>18</v>
      </c>
      <c r="D373" s="208" t="inlineStr">
        <is>
          <t>Instrumento monetario</t>
        </is>
      </c>
      <c r="E373" s="208" t="inlineStr">
        <is>
          <t>Pago o aportacion en efectivo, instrumentos al portador o criptoactivos.</t>
        </is>
      </c>
      <c r="F373" s="208" t="inlineStr">
        <is>
          <t>Pago mediante cheque o transferencia con trazabilidad parcial.</t>
        </is>
      </c>
      <c r="G373" s="208" t="inlineStr">
        <is>
          <t>Pago mediante transferencia bancaria nominativa trazable.</t>
        </is>
      </c>
    </row>
    <row r="374" ht="18.75" customHeight="1" s="173">
      <c r="A374" s="208">
        <f>B374&amp;"-"&amp;C374</f>
        <v/>
      </c>
      <c r="B374" s="344" t="inlineStr">
        <is>
          <t>XII - NOTARIOS: Poderes irrevocables</t>
        </is>
      </c>
      <c r="C374" s="345" t="n">
        <v>19</v>
      </c>
      <c r="D374" s="208" t="inlineStr">
        <is>
          <t>Tipo de moneda</t>
        </is>
      </c>
      <c r="E374" s="208" t="inlineStr">
        <is>
          <t>Moneda extranjera distinta al USD o criptomonedas.</t>
        </is>
      </c>
      <c r="F374" s="208" t="inlineStr">
        <is>
          <t>Operación en dolares estadounidenses (USD).</t>
        </is>
      </c>
      <c r="G374" s="208" t="inlineStr">
        <is>
          <t>Operación en pesos mexicanos.</t>
        </is>
      </c>
    </row>
    <row r="375" ht="18.75" customHeight="1" s="173">
      <c r="A375" s="208">
        <f>B375&amp;"-"&amp;C375</f>
        <v/>
      </c>
      <c r="B375" s="344" t="inlineStr">
        <is>
          <t>XII - NOTARIOS: Poderes irrevocables</t>
        </is>
      </c>
      <c r="C375" s="345" t="n">
        <v>20</v>
      </c>
      <c r="D375" s="208" t="inlineStr">
        <is>
          <t>Monto frente a umbrales LFPIORPI</t>
        </is>
      </c>
      <c r="E375" s="208" t="inlineStr">
        <is>
          <t>Aviso obligatorio siempre; poder sobre patrimonio de alto valor.</t>
        </is>
      </c>
      <c r="F375" s="208" t="inlineStr">
        <is>
          <t>Aviso obligatorio siempre; facultades sobre valor intermedio.</t>
        </is>
      </c>
      <c r="G375" s="208" t="inlineStr">
        <is>
          <t>Aviso obligatorio siempre; poder de alcance y valor reducidos.</t>
        </is>
      </c>
    </row>
    <row r="376" ht="18.75" customHeight="1" s="173">
      <c r="A376" s="208">
        <f>B376&amp;"-"&amp;C376</f>
        <v/>
      </c>
      <c r="B376" s="344" t="inlineStr">
        <is>
          <t>XII - NOTARIOS: Poderes irrevocables</t>
        </is>
      </c>
      <c r="C376" s="345" t="n">
        <v>21</v>
      </c>
      <c r="D376" s="208" t="inlineStr">
        <is>
          <t>Frecuencia (fraccionamiento)</t>
        </is>
      </c>
      <c r="E376" s="208" t="inlineStr">
        <is>
          <t>Otorgamiento reiterado de poderes amplios a distintos apoderados.</t>
        </is>
      </c>
      <c r="F376" s="208" t="inlineStr">
        <is>
          <t>Otorgamiento ocasional de poderes especiales.</t>
        </is>
      </c>
      <c r="G376" s="208" t="inlineStr">
        <is>
          <t>Poder único y acotado, congruente con el perfil.</t>
        </is>
      </c>
    </row>
    <row r="377" ht="18.75" customHeight="1" s="173">
      <c r="A377" s="208">
        <f>B377&amp;"-"&amp;C377</f>
        <v/>
      </c>
      <c r="B377" s="344" t="inlineStr">
        <is>
          <t>XII - NOTARIOS: Poderes irrevocables</t>
        </is>
      </c>
      <c r="C377" s="345" t="n">
        <v>22</v>
      </c>
      <c r="D377" s="208" t="inlineStr">
        <is>
          <t>Canal (presencial / no presencial / terceros)</t>
        </is>
      </c>
      <c r="E377" s="208" t="inlineStr">
        <is>
          <t>Operación no presencial o a traves de terceros sin contacto directo.</t>
        </is>
      </c>
      <c r="F377" s="208" t="inlineStr">
        <is>
          <t>Contacto mixto o mediante representante identificado.</t>
        </is>
      </c>
      <c r="G377" s="208" t="inlineStr">
        <is>
          <t>Cliente atendido de forma presencial y directa.</t>
        </is>
      </c>
    </row>
    <row r="378" ht="18.75" customHeight="1" s="173">
      <c r="A378" s="208">
        <f>B378&amp;"-"&amp;C378</f>
        <v/>
      </c>
      <c r="B378" s="344" t="inlineStr">
        <is>
          <t>XII - NOTARIOS: Poderes irrevocables</t>
        </is>
      </c>
      <c r="C378" s="345" t="n">
        <v>23</v>
      </c>
      <c r="D378" s="208" t="inlineStr">
        <is>
          <t>Origen de los recursos</t>
        </is>
      </c>
      <c r="E378" s="208" t="inlineStr">
        <is>
          <t>Patrimonio bajo el poder de origen no acreditable o informal.</t>
        </is>
      </c>
      <c r="F378" s="208" t="inlineStr">
        <is>
          <t>Origen del patrimonio con soporte parcial.</t>
        </is>
      </c>
      <c r="G378" s="208" t="inlineStr">
        <is>
          <t>Patrimonio de origen lícito y documentado.</t>
        </is>
      </c>
    </row>
    <row r="379" ht="18.75" customHeight="1" s="173">
      <c r="A379" s="208">
        <f>B379&amp;"-"&amp;C379</f>
        <v/>
      </c>
      <c r="B379" s="344" t="inlineStr">
        <is>
          <t>XII - NOTARIOS: Poderes irrevocables</t>
        </is>
      </c>
      <c r="C379" s="345" t="n">
        <v>24</v>
      </c>
      <c r="D379" s="208" t="inlineStr">
        <is>
          <t>Destino de los recursos</t>
        </is>
      </c>
      <c r="E379" s="208" t="inlineStr">
        <is>
          <t>Facultades que permiten desviar activos a terceros o al exterior.</t>
        </is>
      </c>
      <c r="F379" s="208" t="inlineStr">
        <is>
          <t>Actos derivados con destino parcialmente justificado.</t>
        </is>
      </c>
      <c r="G379" s="208" t="inlineStr">
        <is>
          <t>Destino de los actos claro y documentado.</t>
        </is>
      </c>
    </row>
    <row r="380" ht="18.75" customHeight="1" s="173">
      <c r="A380" s="208">
        <f>B380&amp;"-"&amp;C380</f>
        <v/>
      </c>
      <c r="B380" s="344" t="inlineStr">
        <is>
          <t>XII - NOTARIOS: Poderes irrevocables</t>
        </is>
      </c>
      <c r="C380" s="345" t="n">
        <v>25</v>
      </c>
      <c r="D380" s="208" t="inlineStr">
        <is>
          <t>Canales e instrumentos idóneos para el financiamiento al terrorismo</t>
        </is>
      </c>
      <c r="E380" s="208" t="inlineStr">
        <is>
          <t>La operación se realiza mediante otorgamiento a distancia a favor de apoderados sin vínculo acreditado, es decir, medios que permiten mover valor en montos pequeños sin identificar al destinatario final.</t>
        </is>
      </c>
      <c r="F380" s="208" t="inlineStr">
        <is>
          <t>Canal mixto o con verificación parcial: hay registro de la operación pero la trazabilidad del destinatario final es incompleta.</t>
        </is>
      </c>
      <c r="G380" s="208" t="inlineStr">
        <is>
          <t>Otorgamiento con poderdante y apoderado identificados y vínculo acreditado, con trazabilidad completa del origen y del destinatario.</t>
        </is>
      </c>
    </row>
    <row r="381" ht="18.75" customHeight="1" s="173">
      <c r="A381" s="208">
        <f>B381&amp;"-"&amp;C381</f>
        <v/>
      </c>
      <c r="B381" s="344" t="inlineStr">
        <is>
          <t>XII - NOTARIOS: Const. o modif. patrimonial</t>
        </is>
      </c>
      <c r="C381" s="345" t="n">
        <v>1</v>
      </c>
      <c r="D381" s="208" t="inlineStr">
        <is>
          <t>Valor del producto o servicio</t>
        </is>
      </c>
      <c r="E381" s="208" t="inlineStr">
        <is>
          <t>Constitución de sociedad patrimonial con aportaciones significativas.</t>
        </is>
      </c>
      <c r="F381" s="208" t="inlineStr">
        <is>
          <t>Modificación societaria con capital intermedio.</t>
        </is>
      </c>
      <c r="G381" s="208" t="inlineStr">
        <is>
          <t>Ajuste patrimonial menor y documentado.</t>
        </is>
      </c>
    </row>
    <row r="382" ht="18.75" customHeight="1" s="173">
      <c r="A382" s="208">
        <f>B382&amp;"-"&amp;C382</f>
        <v/>
      </c>
      <c r="B382" s="344" t="inlineStr">
        <is>
          <t>XII - NOTARIOS: Const. o modif. patrimonial</t>
        </is>
      </c>
      <c r="C382" s="345" t="n">
        <v>2</v>
      </c>
      <c r="D382" s="208" t="inlineStr">
        <is>
          <t>Liquidez / convertibilidad</t>
        </is>
      </c>
      <c r="E382" s="208" t="inlineStr">
        <is>
          <t>Estructura societaria que facilita mover o convertir aportaciones.</t>
        </is>
      </c>
      <c r="F382" s="208" t="inlineStr">
        <is>
          <t>Cambios de capital con disposición acotada.</t>
        </is>
      </c>
      <c r="G382" s="208" t="inlineStr">
        <is>
          <t>Ajuste sin efecto sobre la disponibilidad de recursos.</t>
        </is>
      </c>
    </row>
    <row r="383" ht="18.75" customHeight="1" s="173">
      <c r="A383" s="208">
        <f>B383&amp;"-"&amp;C383</f>
        <v/>
      </c>
      <c r="B383" s="344" t="inlineStr">
        <is>
          <t>XII - NOTARIOS: Const. o modif. patrimonial</t>
        </is>
      </c>
      <c r="C383" s="345" t="n">
        <v>3</v>
      </c>
      <c r="D383" s="208" t="inlineStr">
        <is>
          <t>Anonimato / identificación del beneficiario</t>
        </is>
      </c>
      <c r="E383" s="208" t="inlineStr">
        <is>
          <t>Socios o aportantes interpuestos que ocultan al beneficiario final.</t>
        </is>
      </c>
      <c r="F383" s="208" t="inlineStr">
        <is>
          <t>Estructura societaria con beneficiario identificable con esfuerzo.</t>
        </is>
      </c>
      <c r="G383" s="208" t="inlineStr">
        <is>
          <t>Socios y beneficiario final plenamente identificados.</t>
        </is>
      </c>
    </row>
    <row r="384" ht="18.75" customHeight="1" s="173">
      <c r="A384" s="208">
        <f>B384&amp;"-"&amp;C384</f>
        <v/>
      </c>
      <c r="B384" s="344" t="inlineStr">
        <is>
          <t>XII - NOTARIOS: Const. o modif. patrimonial</t>
        </is>
      </c>
      <c r="C384" s="345" t="n">
        <v>4</v>
      </c>
      <c r="D384" s="208" t="inlineStr">
        <is>
          <t>Transferencia u ocultamiento de valor</t>
        </is>
      </c>
      <c r="E384" s="208" t="inlineStr">
        <is>
          <t>Sociedad usada para canalizar u ocultar fondos ilícitos.</t>
        </is>
      </c>
      <c r="F384" s="208" t="inlineStr">
        <is>
          <t>Aportaciones con trazabilidad parcial.</t>
        </is>
      </c>
      <c r="G384" s="208" t="inlineStr">
        <is>
          <t>Aportaciones plenamente trazables y documentadas.</t>
        </is>
      </c>
    </row>
    <row r="385" ht="18.75" customHeight="1" s="173">
      <c r="A385" s="208">
        <f>B385&amp;"-"&amp;C385</f>
        <v/>
      </c>
      <c r="B385" s="344" t="inlineStr">
        <is>
          <t>XII - NOTARIOS: Const. o modif. patrimonial</t>
        </is>
      </c>
      <c r="C385" s="345" t="n">
        <v>5</v>
      </c>
      <c r="D385" s="208" t="inlineStr">
        <is>
          <t>Exposición del acto u operación al financiamiento al terrorismo</t>
        </is>
      </c>
      <c r="E385" s="208" t="inlineStr">
        <is>
          <t>Constitución o capitalización de sociedades cuyos socios o aportantes están señalados en listas de sanciones, o que sirven de fachada a estructuras de financiamiento.</t>
        </is>
      </c>
      <c r="F385" s="208" t="inlineStr">
        <is>
          <t>Sociedades con socios del extranjero o con capital que no guarda relación con el objeto, sin coincidencias en listas.</t>
        </is>
      </c>
      <c r="G385" s="208" t="inlineStr">
        <is>
          <t>Sociedad con socios identificados, objeto congruente y aportaciones bancarizadas.</t>
        </is>
      </c>
    </row>
    <row r="386" ht="18.75" customHeight="1" s="173">
      <c r="A386" s="208">
        <f>B386&amp;"-"&amp;C386</f>
        <v/>
      </c>
      <c r="B386" s="344" t="inlineStr">
        <is>
          <t>XII - NOTARIOS: Const. o modif. patrimonial</t>
        </is>
      </c>
      <c r="C386" s="345" t="n">
        <v>6</v>
      </c>
      <c r="D386" s="208" t="inlineStr">
        <is>
          <t>Tipo de persona y estructura</t>
        </is>
      </c>
      <c r="E386" s="208" t="inlineStr">
        <is>
          <t>Sociedad con socios extranjeros o estructura opaca.</t>
        </is>
      </c>
      <c r="F386" s="208" t="inlineStr">
        <is>
          <t>Sociedad nacional con estructura estándar.</t>
        </is>
      </c>
      <c r="G386" s="208" t="inlineStr">
        <is>
          <t>Sociedad pequeña con socios identificados.</t>
        </is>
      </c>
    </row>
    <row r="387" ht="18.75" customHeight="1" s="173">
      <c r="A387" s="208">
        <f>B387&amp;"-"&amp;C387</f>
        <v/>
      </c>
      <c r="B387" s="344" t="inlineStr">
        <is>
          <t>XII - NOTARIOS: Const. o modif. patrimonial</t>
        </is>
      </c>
      <c r="C387" s="345" t="n">
        <v>7</v>
      </c>
      <c r="D387" s="208" t="inlineStr">
        <is>
          <t>Edad / fecha de constitución</t>
        </is>
      </c>
      <c r="E387" s="208" t="inlineStr">
        <is>
          <t>Sociedad de reciente creacion con capital elevado.</t>
        </is>
      </c>
      <c r="F387" s="208" t="inlineStr">
        <is>
          <t>Sociedad con antigüedad intermedia.</t>
        </is>
      </c>
      <c r="G387" s="208" t="inlineStr">
        <is>
          <t>Sociedad consolidada con historial verificable.</t>
        </is>
      </c>
    </row>
    <row r="388" ht="18.75" customHeight="1" s="173">
      <c r="A388" s="208">
        <f>B388&amp;"-"&amp;C388</f>
        <v/>
      </c>
      <c r="B388" s="344" t="inlineStr">
        <is>
          <t>XII - NOTARIOS: Const. o modif. patrimonial</t>
        </is>
      </c>
      <c r="C388" s="345" t="n">
        <v>8</v>
      </c>
      <c r="D388" s="208" t="inlineStr">
        <is>
          <t>Actividad económica o giro (y fuente de ingresos)</t>
        </is>
      </c>
      <c r="E388" s="208" t="inlineStr">
        <is>
          <t>Giro informal, intensivo en efectivo o vinculado a otras AV.</t>
        </is>
      </c>
      <c r="F388" s="208" t="inlineStr">
        <is>
          <t>Giro formal de riesgo medio.</t>
        </is>
      </c>
      <c r="G388" s="208" t="inlineStr">
        <is>
          <t>Giro formal de bajo riesgo con ingresos claros.</t>
        </is>
      </c>
    </row>
    <row r="389" ht="18.75" customHeight="1" s="173">
      <c r="A389" s="208">
        <f>B389&amp;"-"&amp;C389</f>
        <v/>
      </c>
      <c r="B389" s="344" t="inlineStr">
        <is>
          <t>XII - NOTARIOS: Const. o modif. patrimonial</t>
        </is>
      </c>
      <c r="C389" s="345" t="n">
        <v>9</v>
      </c>
      <c r="D389" s="208" t="inlineStr">
        <is>
          <t>Nacionalidad del cliente</t>
        </is>
      </c>
      <c r="E389" s="208" t="inlineStr">
        <is>
          <t>Cliente de país en listas GAFI, sancionado o de régimen fiscal preferente.</t>
        </is>
      </c>
      <c r="F389" s="208" t="inlineStr">
        <is>
          <t>Nacionalidad extranjera de país sin alertas relevantes.</t>
        </is>
      </c>
      <c r="G389" s="208" t="inlineStr">
        <is>
          <t>Cliente mexicano o de país cooperante sin observaciones.</t>
        </is>
      </c>
    </row>
    <row r="390" ht="18.75" customHeight="1" s="173">
      <c r="A390" s="208">
        <f>B390&amp;"-"&amp;C390</f>
        <v/>
      </c>
      <c r="B390" s="344" t="inlineStr">
        <is>
          <t>XII - NOTARIOS: Const. o modif. patrimonial</t>
        </is>
      </c>
      <c r="C390" s="345" t="n">
        <v>10</v>
      </c>
      <c r="D390" s="208" t="inlineStr">
        <is>
          <t>País (y en su caso, estado) de residencia del cliente</t>
        </is>
      </c>
      <c r="E390" s="208" t="inlineStr">
        <is>
          <t>Reside en jurisdicción de alto riesgo o con domicilio no verificable.</t>
        </is>
      </c>
      <c r="F390" s="208" t="inlineStr">
        <is>
          <t>Reside en el extranjero en país cooperante, con domicilio comprobable.</t>
        </is>
      </c>
      <c r="G390" s="208" t="inlineStr">
        <is>
          <t>Residencia nacional verificada y estable.</t>
        </is>
      </c>
    </row>
    <row r="391" ht="18.75" customHeight="1" s="173">
      <c r="A391" s="208">
        <f>B391&amp;"-"&amp;C391</f>
        <v/>
      </c>
      <c r="B391" s="344" t="inlineStr">
        <is>
          <t>XII - NOTARIOS: Const. o modif. patrimonial</t>
        </is>
      </c>
      <c r="C391" s="345" t="n">
        <v>11</v>
      </c>
      <c r="D391" s="208" t="inlineStr">
        <is>
          <t>Condición PEP</t>
        </is>
      </c>
      <c r="E391" s="208" t="inlineStr">
        <is>
          <t>PEP nacional o extranjera, o allegado que actua por su cuenta.</t>
        </is>
      </c>
      <c r="F391" s="208" t="inlineStr">
        <is>
          <t>Vinculo indirecto con PEP o PEP de perfil menor, monitoreado.</t>
        </is>
      </c>
      <c r="G391" s="208" t="inlineStr">
        <is>
          <t>Sin condición PEP ni vínculos con funcionarios.</t>
        </is>
      </c>
    </row>
    <row r="392" ht="18.75" customHeight="1" s="173">
      <c r="A392" s="208">
        <f>B392&amp;"-"&amp;C392</f>
        <v/>
      </c>
      <c r="B392" s="344" t="inlineStr">
        <is>
          <t>XII - NOTARIOS: Const. o modif. patrimonial</t>
        </is>
      </c>
      <c r="C392" s="345" t="n">
        <v>12</v>
      </c>
      <c r="D392" s="208" t="inlineStr">
        <is>
          <t>Coincidencia en listas de personas bloqueadas o de sanciones</t>
        </is>
      </c>
      <c r="E392" s="208" t="inlineStr">
        <is>
          <t>El socio o accionista, su beneficiario controlador, apoderado o contraparte aparece en la Lista de Personas Bloqueadas, en listas de sanciones o en listas de organizaciones terroristas, o presenta una coincidencia fuerte que no ha sido descartada.</t>
        </is>
      </c>
      <c r="F392" s="208" t="inlineStr">
        <is>
          <t>Se detecta coincidencia parcial u homonimia respecto del socio o accionista o de alguna persona relacionada, y el descarte se encuentra en proceso con constancia documental.</t>
        </is>
      </c>
      <c r="G392" s="208" t="inlineStr">
        <is>
          <t>Búsqueda realizada y documentada sobre el socio o accionista y sus personas relacionadas, sin coincidencias.</t>
        </is>
      </c>
    </row>
    <row r="393" ht="18.75" customHeight="1" s="173">
      <c r="A393" s="208">
        <f>B393&amp;"-"&amp;C393</f>
        <v/>
      </c>
      <c r="B393" s="344" t="inlineStr">
        <is>
          <t>XII - NOTARIOS: Const. o modif. patrimonial</t>
        </is>
      </c>
      <c r="C393" s="345" t="n">
        <v>13</v>
      </c>
      <c r="D393" s="208" t="inlineStr">
        <is>
          <t>Identificación y complejidad del Beneficiario Controlador</t>
        </is>
      </c>
      <c r="E393" s="208" t="inlineStr">
        <is>
          <t>No se logra identificar al beneficiario controlador del socio o accionista, o la estructura interpone dos o más niveles societarios, fiduciarios o vehículos constituidos en el extranjero para llegar al 25 por ciento.</t>
        </is>
      </c>
      <c r="F393" s="208" t="inlineStr">
        <is>
          <t>Beneficiario controlador identificado, pero a través de una estructura de más de un nivel o con participación indirecta que exigió reconstruir la cadena de control con documentos.</t>
        </is>
      </c>
      <c r="G393" s="208" t="inlineStr">
        <is>
          <t>Beneficiario controlador identificado de forma directa y documentada: persona física que posee al menos el 25 por ciento o que ejerce el control por otra vía acreditada.</t>
        </is>
      </c>
    </row>
    <row r="394" ht="18.75" customHeight="1" s="173">
      <c r="A394" s="208">
        <f>B394&amp;"-"&amp;C394</f>
        <v/>
      </c>
      <c r="B394" s="344" t="inlineStr">
        <is>
          <t>XII - NOTARIOS: Const. o modif. patrimonial</t>
        </is>
      </c>
      <c r="C394" s="345" t="n">
        <v>14</v>
      </c>
      <c r="D394" s="208" t="inlineStr">
        <is>
          <t>País / jurisdicción donde se realiza la operación</t>
        </is>
      </c>
      <c r="E394" s="208" t="inlineStr">
        <is>
          <t>Operación con o desde jurisdicción de alto riesgo o no cooperante.</t>
        </is>
      </c>
      <c r="F394" s="208" t="inlineStr">
        <is>
          <t>Operación con componente internacional en país cooperante.</t>
        </is>
      </c>
      <c r="G394" s="208" t="inlineStr">
        <is>
          <t>Operación integramente nacional.</t>
        </is>
      </c>
    </row>
    <row r="395" ht="18.75" customHeight="1" s="173">
      <c r="A395" s="208">
        <f>B395&amp;"-"&amp;C395</f>
        <v/>
      </c>
      <c r="B395" s="344" t="inlineStr">
        <is>
          <t>XII - NOTARIOS: Const. o modif. patrimonial</t>
        </is>
      </c>
      <c r="C395" s="345" t="n">
        <v>15</v>
      </c>
      <c r="D395" s="208" t="inlineStr">
        <is>
          <t>Área geográfica nacional de la operación</t>
        </is>
      </c>
      <c r="E395" s="208" t="inlineStr">
        <is>
          <t>Zona de alta incidencia delictiva, marginacion o frontera.</t>
        </is>
      </c>
      <c r="F395" s="208" t="inlineStr">
        <is>
          <t>Zona urbana ordinaria sin alertas particulares.</t>
        </is>
      </c>
      <c r="G395" s="208" t="inlineStr">
        <is>
          <t>Zona de bajo riesgo con actividad económica formal.</t>
        </is>
      </c>
    </row>
    <row r="396" ht="18.75" customHeight="1" s="173">
      <c r="A396" s="208">
        <f>B396&amp;"-"&amp;C396</f>
        <v/>
      </c>
      <c r="B396" s="344" t="inlineStr">
        <is>
          <t>XII - NOTARIOS: Const. o modif. patrimonial</t>
        </is>
      </c>
      <c r="C396" s="345" t="n">
        <v>16</v>
      </c>
      <c r="D396" s="208" t="inlineStr">
        <is>
          <t>Vínculo con jurisdicciones sancionadas, en conflicto o de acción requerida por el GAFI</t>
        </is>
      </c>
      <c r="E396" s="208" t="inlineStr">
        <is>
          <t>Existe exposición a jurisdicciones sancionadas, en conflicto armado o de acción requerida del GAFI, por la vía de socios o aportaciones provenientes del extranjero.</t>
        </is>
      </c>
      <c r="F396" s="208" t="inlineStr">
        <is>
          <t>Vínculo con jurisdicciones bajo monitoreo intensificado del GAFI o con deficiencias señaladas en la ENR, sin estar sancionadas ni en conflicto.</t>
        </is>
      </c>
      <c r="G396" s="208" t="inlineStr">
        <is>
          <t>Sin vínculo con jurisdicciones sancionadas, en conflicto o listadas por el GAFI; la operación y sus partes se ubican en plazas sin señalamientos.</t>
        </is>
      </c>
    </row>
    <row r="397" ht="18.75" customHeight="1" s="173">
      <c r="A397" s="208">
        <f>B397&amp;"-"&amp;C397</f>
        <v/>
      </c>
      <c r="B397" s="344" t="inlineStr">
        <is>
          <t>XII - NOTARIOS: Const. o modif. patrimonial</t>
        </is>
      </c>
      <c r="C397" s="345" t="n">
        <v>17</v>
      </c>
      <c r="D397" s="208" t="inlineStr">
        <is>
          <t>Congruencia entre el domicilio del Cliente y el lugar de la operación</t>
        </is>
      </c>
      <c r="E397" s="208" t="inlineStr">
        <is>
          <t>El domicilio del socio o accionista no guarda relación económica ni logística con el lugar donde se realiza la constitución o modificación patrimonial de la sociedad, y no existe explicación documentada del desplazamiento.</t>
        </is>
      </c>
      <c r="F397" s="208" t="inlineStr">
        <is>
          <t>Existe distancia relevante entre el domicilio del socio o accionista y el lugar de la operación, con explicación plausible pero no soportada en el expediente.</t>
        </is>
      </c>
      <c r="G397" s="208" t="inlineStr">
        <is>
          <t>El domicilio del socio o accionista corresponde a la plaza donde se realiza la constitución o modificación patrimonial de la sociedad, o el desplazamiento está justificado y documentado.</t>
        </is>
      </c>
    </row>
    <row r="398" ht="18.75" customHeight="1" s="173">
      <c r="A398" s="208">
        <f>B398&amp;"-"&amp;C398</f>
        <v/>
      </c>
      <c r="B398" s="344" t="inlineStr">
        <is>
          <t>XII - NOTARIOS: Const. o modif. patrimonial</t>
        </is>
      </c>
      <c r="C398" s="345" t="n">
        <v>18</v>
      </c>
      <c r="D398" s="208" t="inlineStr">
        <is>
          <t>Instrumento monetario</t>
        </is>
      </c>
      <c r="E398" s="208" t="inlineStr">
        <is>
          <t>Pago o aportacion en efectivo, instrumentos al portador o criptoactivos.</t>
        </is>
      </c>
      <c r="F398" s="208" t="inlineStr">
        <is>
          <t>Pago mediante cheque o transferencia con trazabilidad parcial.</t>
        </is>
      </c>
      <c r="G398" s="208" t="inlineStr">
        <is>
          <t>Pago mediante transferencia bancaria nominativa trazable.</t>
        </is>
      </c>
    </row>
    <row r="399" ht="18.75" customHeight="1" s="173">
      <c r="A399" s="208">
        <f>B399&amp;"-"&amp;C399</f>
        <v/>
      </c>
      <c r="B399" s="344" t="inlineStr">
        <is>
          <t>XII - NOTARIOS: Const. o modif. patrimonial</t>
        </is>
      </c>
      <c r="C399" s="345" t="n">
        <v>19</v>
      </c>
      <c r="D399" s="208" t="inlineStr">
        <is>
          <t>Tipo de moneda</t>
        </is>
      </c>
      <c r="E399" s="208" t="inlineStr">
        <is>
          <t>Moneda extranjera distinta al USD o criptomonedas.</t>
        </is>
      </c>
      <c r="F399" s="208" t="inlineStr">
        <is>
          <t>Operación en dolares estadounidenses (USD).</t>
        </is>
      </c>
      <c r="G399" s="208" t="inlineStr">
        <is>
          <t>Operación en pesos mexicanos.</t>
        </is>
      </c>
    </row>
    <row r="400" ht="18.75" customHeight="1" s="173">
      <c r="A400" s="208">
        <f>B400&amp;"-"&amp;C400</f>
        <v/>
      </c>
      <c r="B400" s="344" t="inlineStr">
        <is>
          <t>XII - NOTARIOS: Const. o modif. patrimonial</t>
        </is>
      </c>
      <c r="C400" s="345" t="n">
        <v>20</v>
      </c>
      <c r="D400" s="208" t="inlineStr">
        <is>
          <t>Monto frente a umbrales LFPIORPI</t>
        </is>
      </c>
      <c r="E400" s="208" t="inlineStr">
        <is>
          <t>Aportaciones que superan el umbral de aviso (8,025 UMA).</t>
        </is>
      </c>
      <c r="F400" s="208" t="inlineStr">
        <is>
          <t>Aportaciones cercanas al umbral de aviso (8,025 UMA).</t>
        </is>
      </c>
      <c r="G400" s="208" t="inlineStr">
        <is>
          <t>Aportaciones muy por debajo del umbral (8,025 UMA).</t>
        </is>
      </c>
    </row>
    <row r="401" ht="18.75" customHeight="1" s="173">
      <c r="A401" s="208">
        <f>B401&amp;"-"&amp;C401</f>
        <v/>
      </c>
      <c r="B401" s="344" t="inlineStr">
        <is>
          <t>XII - NOTARIOS: Const. o modif. patrimonial</t>
        </is>
      </c>
      <c r="C401" s="345" t="n">
        <v>21</v>
      </c>
      <c r="D401" s="208" t="inlineStr">
        <is>
          <t>Frecuencia (fraccionamiento)</t>
        </is>
      </c>
      <c r="E401" s="208" t="inlineStr">
        <is>
          <t>Constituciones o reformas frecuentes o fraccionadas para eludir umbrales.</t>
        </is>
      </c>
      <c r="F401" s="208" t="inlineStr">
        <is>
          <t>Modificaciones societarias ocasionales.</t>
        </is>
      </c>
      <c r="G401" s="208" t="inlineStr">
        <is>
          <t>Acto societario único, congruente con el perfil.</t>
        </is>
      </c>
    </row>
    <row r="402" ht="18.75" customHeight="1" s="173">
      <c r="A402" s="208">
        <f>B402&amp;"-"&amp;C402</f>
        <v/>
      </c>
      <c r="B402" s="344" t="inlineStr">
        <is>
          <t>XII - NOTARIOS: Const. o modif. patrimonial</t>
        </is>
      </c>
      <c r="C402" s="345" t="n">
        <v>22</v>
      </c>
      <c r="D402" s="208" t="inlineStr">
        <is>
          <t>Canal (presencial / no presencial / terceros)</t>
        </is>
      </c>
      <c r="E402" s="208" t="inlineStr">
        <is>
          <t>Operación no presencial o a traves de terceros sin contacto directo.</t>
        </is>
      </c>
      <c r="F402" s="208" t="inlineStr">
        <is>
          <t>Contacto mixto o mediante representante identificado.</t>
        </is>
      </c>
      <c r="G402" s="208" t="inlineStr">
        <is>
          <t>Cliente atendido de forma presencial y directa.</t>
        </is>
      </c>
    </row>
    <row r="403" ht="18.75" customHeight="1" s="173">
      <c r="A403" s="208">
        <f>B403&amp;"-"&amp;C403</f>
        <v/>
      </c>
      <c r="B403" s="344" t="inlineStr">
        <is>
          <t>XII - NOTARIOS: Const. o modif. patrimonial</t>
        </is>
      </c>
      <c r="C403" s="345" t="n">
        <v>23</v>
      </c>
      <c r="D403" s="208" t="inlineStr">
        <is>
          <t>Origen de los recursos</t>
        </is>
      </c>
      <c r="E403" s="208" t="inlineStr">
        <is>
          <t>Aportaciones de origen no acreditable, en efectivo o informal.</t>
        </is>
      </c>
      <c r="F403" s="208" t="inlineStr">
        <is>
          <t>Origen de las aportaciones con soporte parcial.</t>
        </is>
      </c>
      <c r="G403" s="208" t="inlineStr">
        <is>
          <t>Aportaciones de origen lícito documentado.</t>
        </is>
      </c>
    </row>
    <row r="404" ht="18.75" customHeight="1" s="173">
      <c r="A404" s="208">
        <f>B404&amp;"-"&amp;C404</f>
        <v/>
      </c>
      <c r="B404" s="344" t="inlineStr">
        <is>
          <t>XII - NOTARIOS: Const. o modif. patrimonial</t>
        </is>
      </c>
      <c r="C404" s="345" t="n">
        <v>24</v>
      </c>
      <c r="D404" s="208" t="inlineStr">
        <is>
          <t>Destino de los recursos</t>
        </is>
      </c>
      <c r="E404" s="208" t="inlineStr">
        <is>
          <t>Recursos societarios con destino opaco o a terceros sin justificación.</t>
        </is>
      </c>
      <c r="F404" s="208" t="inlineStr">
        <is>
          <t>Destino de los recursos parcialmente justificado.</t>
        </is>
      </c>
      <c r="G404" s="208" t="inlineStr">
        <is>
          <t>Destino de los recursos claro y documentado.</t>
        </is>
      </c>
    </row>
    <row r="405" ht="18.75" customHeight="1" s="173">
      <c r="A405" s="208">
        <f>B405&amp;"-"&amp;C405</f>
        <v/>
      </c>
      <c r="B405" s="344" t="inlineStr">
        <is>
          <t>XII - NOTARIOS: Const. o modif. patrimonial</t>
        </is>
      </c>
      <c r="C405" s="345" t="n">
        <v>25</v>
      </c>
      <c r="D405" s="208" t="inlineStr">
        <is>
          <t>Canales e instrumentos idóneos para el financiamiento al terrorismo</t>
        </is>
      </c>
      <c r="E405" s="208" t="inlineStr">
        <is>
          <t>La operación se realiza mediante constitución a distancia con socios que no comparecen y aportaciones en efectivo, es decir, medios que permiten mover valor en montos pequeños sin identificar al destinatario final.</t>
        </is>
      </c>
      <c r="F405" s="208" t="inlineStr">
        <is>
          <t>Canal mixto o con verificación parcial: hay registro de la operación pero la trazabilidad del destinatario final es incompleta.</t>
        </is>
      </c>
      <c r="G405" s="208" t="inlineStr">
        <is>
          <t>Constitución con socios identificados y comparecientes y aportaciones bancarizadas, con trazabilidad completa del origen y del destinatario.</t>
        </is>
      </c>
    </row>
    <row r="406" ht="18.75" customHeight="1" s="173">
      <c r="A406" s="208">
        <f>B406&amp;"-"&amp;C406</f>
        <v/>
      </c>
      <c r="B406" s="344" t="inlineStr">
        <is>
          <t>XII - NOTARIOS: Const. o modif. fideicomisos</t>
        </is>
      </c>
      <c r="C406" s="345" t="n">
        <v>1</v>
      </c>
      <c r="D406" s="208" t="inlineStr">
        <is>
          <t>Valor del producto o servicio</t>
        </is>
      </c>
      <c r="E406" s="208" t="inlineStr">
        <is>
          <t>Fideicomiso de inversion de gran valor.</t>
        </is>
      </c>
      <c r="F406" s="208" t="inlineStr">
        <is>
          <t>Fideicomiso de inversion o administracion de monto intermedio.</t>
        </is>
      </c>
      <c r="G406" s="208" t="inlineStr">
        <is>
          <t>Fideicomiso patrimonial familiar de monto bajo.</t>
        </is>
      </c>
    </row>
    <row r="407" ht="18.75" customHeight="1" s="173">
      <c r="A407" s="208">
        <f>B407&amp;"-"&amp;C407</f>
        <v/>
      </c>
      <c r="B407" s="344" t="inlineStr">
        <is>
          <t>XII - NOTARIOS: Const. o modif. fideicomisos</t>
        </is>
      </c>
      <c r="C407" s="345" t="n">
        <v>2</v>
      </c>
      <c r="D407" s="208" t="inlineStr">
        <is>
          <t>Liquidez / convertibilidad</t>
        </is>
      </c>
      <c r="E407" s="208" t="inlineStr">
        <is>
          <t>Estructura fiduciaria que permite disponer o convertir el patrimonio.</t>
        </is>
      </c>
      <c r="F407" s="208" t="inlineStr">
        <is>
          <t>Fideicomiso con facultades de disposición acotadas.</t>
        </is>
      </c>
      <c r="G407" s="208" t="inlineStr">
        <is>
          <t>Fideicomiso de conservacion sin disposición ágil.</t>
        </is>
      </c>
    </row>
    <row r="408" ht="18.75" customHeight="1" s="173">
      <c r="A408" s="208">
        <f>B408&amp;"-"&amp;C408</f>
        <v/>
      </c>
      <c r="B408" s="344" t="inlineStr">
        <is>
          <t>XII - NOTARIOS: Const. o modif. fideicomisos</t>
        </is>
      </c>
      <c r="C408" s="345" t="n">
        <v>3</v>
      </c>
      <c r="D408" s="208" t="inlineStr">
        <is>
          <t>Anonimato / identificación del beneficiario</t>
        </is>
      </c>
      <c r="E408" s="208" t="inlineStr">
        <is>
          <t>Fideicomiso que oculta a fideicomitentes o fideicomisarios reales.</t>
        </is>
      </c>
      <c r="F408" s="208" t="inlineStr">
        <is>
          <t>Partes fiduciarias identificables con esfuerzo adicional.</t>
        </is>
      </c>
      <c r="G408" s="208" t="inlineStr">
        <is>
          <t>Fideicomitente y fideicomisario plenamente identificados.</t>
        </is>
      </c>
    </row>
    <row r="409" ht="18.75" customHeight="1" s="173">
      <c r="A409" s="208">
        <f>B409&amp;"-"&amp;C409</f>
        <v/>
      </c>
      <c r="B409" s="344" t="inlineStr">
        <is>
          <t>XII - NOTARIOS: Const. o modif. fideicomisos</t>
        </is>
      </c>
      <c r="C409" s="345" t="n">
        <v>4</v>
      </c>
      <c r="D409" s="208" t="inlineStr">
        <is>
          <t>Transferencia u ocultamiento de valor</t>
        </is>
      </c>
      <c r="E409" s="208" t="inlineStr">
        <is>
          <t>Vehiculo idoneo para ocultar recursos ilícitos y beneficiarios.</t>
        </is>
      </c>
      <c r="F409" s="208" t="inlineStr">
        <is>
          <t>Aportaciones fiduciarias con trazabilidad parcial.</t>
        </is>
      </c>
      <c r="G409" s="208" t="inlineStr">
        <is>
          <t>Patrimonio fiduciario plenamente trazable.</t>
        </is>
      </c>
    </row>
    <row r="410" ht="18.75" customHeight="1" s="173">
      <c r="A410" s="208">
        <f>B410&amp;"-"&amp;C410</f>
        <v/>
      </c>
      <c r="B410" s="344" t="inlineStr">
        <is>
          <t>XII - NOTARIOS: Const. o modif. fideicomisos</t>
        </is>
      </c>
      <c r="C410" s="345" t="n">
        <v>5</v>
      </c>
      <c r="D410" s="208" t="inlineStr">
        <is>
          <t>Exposición del acto u operación al financiamiento al terrorismo</t>
        </is>
      </c>
      <c r="E410" s="208" t="inlineStr">
        <is>
          <t>Fideicomisos constituidos a favor de personas u organizaciones señaladas en listas, o que ocultan al beneficiario último del patrimonio afectado.</t>
        </is>
      </c>
      <c r="F410" s="208" t="inlineStr">
        <is>
          <t>Fideicomisos con fideicomisarios indeterminados o vehículos del extranjero, sin coincidencias en listas.</t>
        </is>
      </c>
      <c r="G410" s="208" t="inlineStr">
        <is>
          <t>Fideicomiso con partes identificadas, fines lícitos declarados y patrimonio de origen documentado.</t>
        </is>
      </c>
    </row>
    <row r="411" ht="18.75" customHeight="1" s="173">
      <c r="A411" s="208">
        <f>B411&amp;"-"&amp;C411</f>
        <v/>
      </c>
      <c r="B411" s="344" t="inlineStr">
        <is>
          <t>XII - NOTARIOS: Const. o modif. fideicomisos</t>
        </is>
      </c>
      <c r="C411" s="345" t="n">
        <v>6</v>
      </c>
      <c r="D411" s="208" t="inlineStr">
        <is>
          <t>Tipo de persona y estructura</t>
        </is>
      </c>
      <c r="E411" s="208" t="inlineStr">
        <is>
          <t>Fideicomitente persona moral extranjera o estructura opaca.</t>
        </is>
      </c>
      <c r="F411" s="208" t="inlineStr">
        <is>
          <t>Fideicomitente nacional con estructura estándar.</t>
        </is>
      </c>
      <c r="G411" s="208" t="inlineStr">
        <is>
          <t>Fideicomiso familiar con partes identificadas.</t>
        </is>
      </c>
    </row>
    <row r="412" ht="18.75" customHeight="1" s="173">
      <c r="A412" s="208">
        <f>B412&amp;"-"&amp;C412</f>
        <v/>
      </c>
      <c r="B412" s="344" t="inlineStr">
        <is>
          <t>XII - NOTARIOS: Const. o modif. fideicomisos</t>
        </is>
      </c>
      <c r="C412" s="345" t="n">
        <v>7</v>
      </c>
      <c r="D412" s="208" t="inlineStr">
        <is>
          <t>Edad / fecha de constitución</t>
        </is>
      </c>
      <c r="E412" s="208" t="inlineStr">
        <is>
          <t>Fideicomiso recién constituido con patrimonio elevado.</t>
        </is>
      </c>
      <c r="F412" s="208" t="inlineStr">
        <is>
          <t>Fideicomiso con antigüedad intermedia.</t>
        </is>
      </c>
      <c r="G412" s="208" t="inlineStr">
        <is>
          <t>Fideicomiso consolidado con historial verificable.</t>
        </is>
      </c>
    </row>
    <row r="413" ht="18.75" customHeight="1" s="173">
      <c r="A413" s="208">
        <f>B413&amp;"-"&amp;C413</f>
        <v/>
      </c>
      <c r="B413" s="344" t="inlineStr">
        <is>
          <t>XII - NOTARIOS: Const. o modif. fideicomisos</t>
        </is>
      </c>
      <c r="C413" s="345" t="n">
        <v>8</v>
      </c>
      <c r="D413" s="208" t="inlineStr">
        <is>
          <t>Actividad económica o giro (y fuente de ingresos)</t>
        </is>
      </c>
      <c r="E413" s="208" t="inlineStr">
        <is>
          <t>Fideicomitente con giro informal, en efectivo o ligado a otras AV.</t>
        </is>
      </c>
      <c r="F413" s="208" t="inlineStr">
        <is>
          <t>Giro formal de riesgo medio.</t>
        </is>
      </c>
      <c r="G413" s="208" t="inlineStr">
        <is>
          <t>Giro formal de bajo riesgo con ingresos claros.</t>
        </is>
      </c>
    </row>
    <row r="414" ht="18.75" customHeight="1" s="173">
      <c r="A414" s="208">
        <f>B414&amp;"-"&amp;C414</f>
        <v/>
      </c>
      <c r="B414" s="344" t="inlineStr">
        <is>
          <t>XII - NOTARIOS: Const. o modif. fideicomisos</t>
        </is>
      </c>
      <c r="C414" s="345" t="n">
        <v>9</v>
      </c>
      <c r="D414" s="208" t="inlineStr">
        <is>
          <t>Nacionalidad del cliente</t>
        </is>
      </c>
      <c r="E414" s="208" t="inlineStr">
        <is>
          <t>Cliente de país en listas GAFI, sancionado o de régimen fiscal preferente.</t>
        </is>
      </c>
      <c r="F414" s="208" t="inlineStr">
        <is>
          <t>Nacionalidad extranjera de país sin alertas relevantes.</t>
        </is>
      </c>
      <c r="G414" s="208" t="inlineStr">
        <is>
          <t>Cliente mexicano o de país cooperante sin observaciones.</t>
        </is>
      </c>
    </row>
    <row r="415" ht="18.75" customHeight="1" s="173">
      <c r="A415" s="208">
        <f>B415&amp;"-"&amp;C415</f>
        <v/>
      </c>
      <c r="B415" s="344" t="inlineStr">
        <is>
          <t>XII - NOTARIOS: Const. o modif. fideicomisos</t>
        </is>
      </c>
      <c r="C415" s="345" t="n">
        <v>10</v>
      </c>
      <c r="D415" s="208" t="inlineStr">
        <is>
          <t>País (y en su caso, estado) de residencia del cliente</t>
        </is>
      </c>
      <c r="E415" s="208" t="inlineStr">
        <is>
          <t>Reside en jurisdicción de alto riesgo o con domicilio no verificable.</t>
        </is>
      </c>
      <c r="F415" s="208" t="inlineStr">
        <is>
          <t>Reside en el extranjero en país cooperante, con domicilio comprobable.</t>
        </is>
      </c>
      <c r="G415" s="208" t="inlineStr">
        <is>
          <t>Residencia nacional verificada y estable.</t>
        </is>
      </c>
    </row>
    <row r="416" ht="18.75" customHeight="1" s="173">
      <c r="A416" s="208">
        <f>B416&amp;"-"&amp;C416</f>
        <v/>
      </c>
      <c r="B416" s="344" t="inlineStr">
        <is>
          <t>XII - NOTARIOS: Const. o modif. fideicomisos</t>
        </is>
      </c>
      <c r="C416" s="345" t="n">
        <v>11</v>
      </c>
      <c r="D416" s="208" t="inlineStr">
        <is>
          <t>Condición PEP</t>
        </is>
      </c>
      <c r="E416" s="208" t="inlineStr">
        <is>
          <t>PEP nacional o extranjera, o allegado que actua por su cuenta.</t>
        </is>
      </c>
      <c r="F416" s="208" t="inlineStr">
        <is>
          <t>Vinculo indirecto con PEP o PEP de perfil menor, monitoreado.</t>
        </is>
      </c>
      <c r="G416" s="208" t="inlineStr">
        <is>
          <t>Sin condición PEP ni vínculos con funcionarios.</t>
        </is>
      </c>
    </row>
    <row r="417" ht="18.75" customHeight="1" s="173">
      <c r="A417" s="208">
        <f>B417&amp;"-"&amp;C417</f>
        <v/>
      </c>
      <c r="B417" s="344" t="inlineStr">
        <is>
          <t>XII - NOTARIOS: Const. o modif. fideicomisos</t>
        </is>
      </c>
      <c r="C417" s="345" t="n">
        <v>12</v>
      </c>
      <c r="D417" s="208" t="inlineStr">
        <is>
          <t>Coincidencia en listas de personas bloqueadas o de sanciones</t>
        </is>
      </c>
      <c r="E417" s="208" t="inlineStr">
        <is>
          <t>El fideicomitente, su beneficiario controlador, apoderado o contraparte aparece en la Lista de Personas Bloqueadas, en listas de sanciones o en listas de organizaciones terroristas, o presenta una coincidencia fuerte que no ha sido descartada.</t>
        </is>
      </c>
      <c r="F417" s="208" t="inlineStr">
        <is>
          <t>Se detecta coincidencia parcial u homonimia respecto del fideicomitente o de alguna persona relacionada, y el descarte se encuentra en proceso con constancia documental.</t>
        </is>
      </c>
      <c r="G417" s="208" t="inlineStr">
        <is>
          <t>Búsqueda realizada y documentada sobre el fideicomitente y sus personas relacionadas, sin coincidencias.</t>
        </is>
      </c>
    </row>
    <row r="418" ht="18.75" customHeight="1" s="173">
      <c r="A418" s="208">
        <f>B418&amp;"-"&amp;C418</f>
        <v/>
      </c>
      <c r="B418" s="344" t="inlineStr">
        <is>
          <t>XII - NOTARIOS: Const. o modif. fideicomisos</t>
        </is>
      </c>
      <c r="C418" s="345" t="n">
        <v>13</v>
      </c>
      <c r="D418" s="208" t="inlineStr">
        <is>
          <t>Identificación y complejidad del Beneficiario Controlador</t>
        </is>
      </c>
      <c r="E418" s="208" t="inlineStr">
        <is>
          <t>No se logra identificar al beneficiario controlador del fideicomitente, o la estructura interpone dos o más niveles societarios, fiduciarios o vehículos constituidos en el extranjero para llegar al 25 por ciento.</t>
        </is>
      </c>
      <c r="F418" s="208" t="inlineStr">
        <is>
          <t>Beneficiario controlador identificado, pero a través de una estructura de más de un nivel o con participación indirecta que exigió reconstruir la cadena de control con documentos.</t>
        </is>
      </c>
      <c r="G418" s="208" t="inlineStr">
        <is>
          <t>Beneficiario controlador identificado de forma directa y documentada: persona física que posee al menos el 25 por ciento o que ejerce el control por otra vía acreditada.</t>
        </is>
      </c>
    </row>
    <row r="419" ht="18.75" customHeight="1" s="173">
      <c r="A419" s="208">
        <f>B419&amp;"-"&amp;C419</f>
        <v/>
      </c>
      <c r="B419" s="344" t="inlineStr">
        <is>
          <t>XII - NOTARIOS: Const. o modif. fideicomisos</t>
        </is>
      </c>
      <c r="C419" s="345" t="n">
        <v>14</v>
      </c>
      <c r="D419" s="208" t="inlineStr">
        <is>
          <t>País / jurisdicción donde se realiza la operación</t>
        </is>
      </c>
      <c r="E419" s="208" t="inlineStr">
        <is>
          <t>Operación con o desde jurisdicción de alto riesgo o no cooperante.</t>
        </is>
      </c>
      <c r="F419" s="208" t="inlineStr">
        <is>
          <t>Operación con componente internacional en país cooperante.</t>
        </is>
      </c>
      <c r="G419" s="208" t="inlineStr">
        <is>
          <t>Operación integramente nacional.</t>
        </is>
      </c>
    </row>
    <row r="420" ht="18.75" customHeight="1" s="173">
      <c r="A420" s="208">
        <f>B420&amp;"-"&amp;C420</f>
        <v/>
      </c>
      <c r="B420" s="344" t="inlineStr">
        <is>
          <t>XII - NOTARIOS: Const. o modif. fideicomisos</t>
        </is>
      </c>
      <c r="C420" s="345" t="n">
        <v>15</v>
      </c>
      <c r="D420" s="208" t="inlineStr">
        <is>
          <t>Área geográfica nacional de la operación</t>
        </is>
      </c>
      <c r="E420" s="208" t="inlineStr">
        <is>
          <t>Zona de alta incidencia delictiva, marginacion o frontera.</t>
        </is>
      </c>
      <c r="F420" s="208" t="inlineStr">
        <is>
          <t>Zona urbana ordinaria sin alertas particulares.</t>
        </is>
      </c>
      <c r="G420" s="208" t="inlineStr">
        <is>
          <t>Zona de bajo riesgo con actividad económica formal.</t>
        </is>
      </c>
    </row>
    <row r="421" ht="18.75" customHeight="1" s="173">
      <c r="A421" s="208">
        <f>B421&amp;"-"&amp;C421</f>
        <v/>
      </c>
      <c r="B421" s="344" t="inlineStr">
        <is>
          <t>XII - NOTARIOS: Const. o modif. fideicomisos</t>
        </is>
      </c>
      <c r="C421" s="345" t="n">
        <v>16</v>
      </c>
      <c r="D421" s="208" t="inlineStr">
        <is>
          <t>Vínculo con jurisdicciones sancionadas, en conflicto o de acción requerida por el GAFI</t>
        </is>
      </c>
      <c r="E421" s="208" t="inlineStr">
        <is>
          <t>Existe exposición a jurisdicciones sancionadas, en conflicto armado o de acción requerida del GAFI, por la vía de fideicomitentes, fiduciarias o fideicomisarios del extranjero.</t>
        </is>
      </c>
      <c r="F421" s="208" t="inlineStr">
        <is>
          <t>Vínculo con jurisdicciones bajo monitoreo intensificado del GAFI o con deficiencias señaladas en la ENR, sin estar sancionadas ni en conflicto.</t>
        </is>
      </c>
      <c r="G421" s="208" t="inlineStr">
        <is>
          <t>Sin vínculo con jurisdicciones sancionadas, en conflicto o listadas por el GAFI; la operación y sus partes se ubican en plazas sin señalamientos.</t>
        </is>
      </c>
    </row>
    <row r="422" ht="18.75" customHeight="1" s="173">
      <c r="A422" s="208">
        <f>B422&amp;"-"&amp;C422</f>
        <v/>
      </c>
      <c r="B422" s="344" t="inlineStr">
        <is>
          <t>XII - NOTARIOS: Const. o modif. fideicomisos</t>
        </is>
      </c>
      <c r="C422" s="345" t="n">
        <v>17</v>
      </c>
      <c r="D422" s="208" t="inlineStr">
        <is>
          <t>Congruencia entre el domicilio del Cliente y el lugar de la operación</t>
        </is>
      </c>
      <c r="E422" s="208" t="inlineStr">
        <is>
          <t>El domicilio del fideicomitente no guarda relación económica ni logística con el lugar donde se realiza la constitución o modificación del fideicomiso, y no existe explicación documentada del desplazamiento.</t>
        </is>
      </c>
      <c r="F422" s="208" t="inlineStr">
        <is>
          <t>Existe distancia relevante entre el domicilio del fideicomitente y el lugar de la operación, con explicación plausible pero no soportada en el expediente.</t>
        </is>
      </c>
      <c r="G422" s="208" t="inlineStr">
        <is>
          <t>El domicilio del fideicomitente corresponde a la plaza donde se realiza la constitución o modificación del fideicomiso, o el desplazamiento está justificado y documentado.</t>
        </is>
      </c>
    </row>
    <row r="423" ht="18.75" customHeight="1" s="173">
      <c r="A423" s="208">
        <f>B423&amp;"-"&amp;C423</f>
        <v/>
      </c>
      <c r="B423" s="344" t="inlineStr">
        <is>
          <t>XII - NOTARIOS: Const. o modif. fideicomisos</t>
        </is>
      </c>
      <c r="C423" s="345" t="n">
        <v>18</v>
      </c>
      <c r="D423" s="208" t="inlineStr">
        <is>
          <t>Instrumento monetario</t>
        </is>
      </c>
      <c r="E423" s="208" t="inlineStr">
        <is>
          <t>Pago o aportacion en efectivo, instrumentos al portador o criptoactivos.</t>
        </is>
      </c>
      <c r="F423" s="208" t="inlineStr">
        <is>
          <t>Pago mediante cheque o transferencia con trazabilidad parcial.</t>
        </is>
      </c>
      <c r="G423" s="208" t="inlineStr">
        <is>
          <t>Pago mediante transferencia bancaria nominativa trazable.</t>
        </is>
      </c>
    </row>
    <row r="424" ht="18.75" customHeight="1" s="173">
      <c r="A424" s="208">
        <f>B424&amp;"-"&amp;C424</f>
        <v/>
      </c>
      <c r="B424" s="344" t="inlineStr">
        <is>
          <t>XII - NOTARIOS: Const. o modif. fideicomisos</t>
        </is>
      </c>
      <c r="C424" s="345" t="n">
        <v>19</v>
      </c>
      <c r="D424" s="208" t="inlineStr">
        <is>
          <t>Tipo de moneda</t>
        </is>
      </c>
      <c r="E424" s="208" t="inlineStr">
        <is>
          <t>Moneda extranjera distinta al USD o criptomonedas.</t>
        </is>
      </c>
      <c r="F424" s="208" t="inlineStr">
        <is>
          <t>Operación en dolares estadounidenses (USD).</t>
        </is>
      </c>
      <c r="G424" s="208" t="inlineStr">
        <is>
          <t>Operación en pesos mexicanos.</t>
        </is>
      </c>
    </row>
    <row r="425" ht="18.75" customHeight="1" s="173">
      <c r="A425" s="208">
        <f>B425&amp;"-"&amp;C425</f>
        <v/>
      </c>
      <c r="B425" s="344" t="inlineStr">
        <is>
          <t>XII - NOTARIOS: Const. o modif. fideicomisos</t>
        </is>
      </c>
      <c r="C425" s="345" t="n">
        <v>20</v>
      </c>
      <c r="D425" s="208" t="inlineStr">
        <is>
          <t>Monto frente a umbrales LFPIORPI</t>
        </is>
      </c>
      <c r="E425" s="208" t="inlineStr">
        <is>
          <t>Patrimonio que supera el umbral de aviso (4,000 UMA).</t>
        </is>
      </c>
      <c r="F425" s="208" t="inlineStr">
        <is>
          <t>Patrimonio cercano al umbral de aviso (4,000 UMA).</t>
        </is>
      </c>
      <c r="G425" s="208" t="inlineStr">
        <is>
          <t>Patrimonio muy por debajo del umbral (4,000 UMA).</t>
        </is>
      </c>
    </row>
    <row r="426" ht="18.75" customHeight="1" s="173">
      <c r="A426" s="208">
        <f>B426&amp;"-"&amp;C426</f>
        <v/>
      </c>
      <c r="B426" s="344" t="inlineStr">
        <is>
          <t>XII - NOTARIOS: Const. o modif. fideicomisos</t>
        </is>
      </c>
      <c r="C426" s="345" t="n">
        <v>21</v>
      </c>
      <c r="D426" s="208" t="inlineStr">
        <is>
          <t>Frecuencia (fraccionamiento)</t>
        </is>
      </c>
      <c r="E426" s="208" t="inlineStr">
        <is>
          <t>Constitución o modificación reiterada de fideicomisos para fragmentar.</t>
        </is>
      </c>
      <c r="F426" s="208" t="inlineStr">
        <is>
          <t>Modificaciones fiduciarias ocasionales.</t>
        </is>
      </c>
      <c r="G426" s="208" t="inlineStr">
        <is>
          <t>Acto fiduciario único, congruente con el perfil.</t>
        </is>
      </c>
    </row>
    <row r="427" ht="18.75" customHeight="1" s="173">
      <c r="A427" s="208">
        <f>B427&amp;"-"&amp;C427</f>
        <v/>
      </c>
      <c r="B427" s="344" t="inlineStr">
        <is>
          <t>XII - NOTARIOS: Const. o modif. fideicomisos</t>
        </is>
      </c>
      <c r="C427" s="345" t="n">
        <v>22</v>
      </c>
      <c r="D427" s="208" t="inlineStr">
        <is>
          <t>Canal (presencial / no presencial / terceros)</t>
        </is>
      </c>
      <c r="E427" s="208" t="inlineStr">
        <is>
          <t>Operación no presencial o a traves de terceros sin contacto directo.</t>
        </is>
      </c>
      <c r="F427" s="208" t="inlineStr">
        <is>
          <t>Contacto mixto o mediante representante identificado.</t>
        </is>
      </c>
      <c r="G427" s="208" t="inlineStr">
        <is>
          <t>Cliente atendido de forma presencial y directa.</t>
        </is>
      </c>
    </row>
    <row r="428" ht="18.75" customHeight="1" s="173">
      <c r="A428" s="208">
        <f>B428&amp;"-"&amp;C428</f>
        <v/>
      </c>
      <c r="B428" s="344" t="inlineStr">
        <is>
          <t>XII - NOTARIOS: Const. o modif. fideicomisos</t>
        </is>
      </c>
      <c r="C428" s="345" t="n">
        <v>23</v>
      </c>
      <c r="D428" s="208" t="inlineStr">
        <is>
          <t>Origen de los recursos</t>
        </is>
      </c>
      <c r="E428" s="208" t="inlineStr">
        <is>
          <t>Patrimonio fideicomitido de origen no acreditable o en efectivo.</t>
        </is>
      </c>
      <c r="F428" s="208" t="inlineStr">
        <is>
          <t>Origen del patrimonio con soporte parcial.</t>
        </is>
      </c>
      <c r="G428" s="208" t="inlineStr">
        <is>
          <t>Patrimonio de origen lícito documentado.</t>
        </is>
      </c>
    </row>
    <row r="429" ht="18.75" customHeight="1" s="173">
      <c r="A429" s="208">
        <f>B429&amp;"-"&amp;C429</f>
        <v/>
      </c>
      <c r="B429" s="344" t="inlineStr">
        <is>
          <t>XII - NOTARIOS: Const. o modif. fideicomisos</t>
        </is>
      </c>
      <c r="C429" s="345" t="n">
        <v>24</v>
      </c>
      <c r="D429" s="208" t="inlineStr">
        <is>
          <t>Destino de los recursos</t>
        </is>
      </c>
      <c r="E429" s="208" t="inlineStr">
        <is>
          <t>Fines del fideicomiso opacos, a terceros o al exterior sin justificación.</t>
        </is>
      </c>
      <c r="F429" s="208" t="inlineStr">
        <is>
          <t>Fines fiduciarios parcialmente justificados.</t>
        </is>
      </c>
      <c r="G429" s="208" t="inlineStr">
        <is>
          <t>Fines del fideicomiso claros y documentados.</t>
        </is>
      </c>
    </row>
    <row r="430" ht="18.75" customHeight="1" s="173">
      <c r="A430" s="208">
        <f>B430&amp;"-"&amp;C430</f>
        <v/>
      </c>
      <c r="B430" s="344" t="inlineStr">
        <is>
          <t>XII - NOTARIOS: Const. o modif. fideicomisos</t>
        </is>
      </c>
      <c r="C430" s="345" t="n">
        <v>25</v>
      </c>
      <c r="D430" s="208" t="inlineStr">
        <is>
          <t>Canales e instrumentos idóneos para el financiamiento al terrorismo</t>
        </is>
      </c>
      <c r="E430" s="208" t="inlineStr">
        <is>
          <t>La operación se realiza mediante constitución a distancia con fideicomisarios no identificados, es decir, medios que permiten mover valor en montos pequeños sin identificar al destinatario final.</t>
        </is>
      </c>
      <c r="F430" s="208" t="inlineStr">
        <is>
          <t>Canal mixto o con verificación parcial: hay registro de la operación pero la trazabilidad del destinatario final es incompleta.</t>
        </is>
      </c>
      <c r="G430" s="208" t="inlineStr">
        <is>
          <t>Constitución con fideicomitente y fideicomisarios identificados y patrimonio documentado, con trazabilidad completa del origen y del destinatario.</t>
        </is>
      </c>
    </row>
    <row r="431" ht="18.75" customHeight="1" s="173">
      <c r="A431" s="208">
        <f>B431&amp;"-"&amp;C431</f>
        <v/>
      </c>
      <c r="B431" s="344" t="inlineStr">
        <is>
          <t>XII - NOTARIOS: Mutuo con no financiero</t>
        </is>
      </c>
      <c r="C431" s="345" t="n">
        <v>1</v>
      </c>
      <c r="D431" s="208" t="inlineStr">
        <is>
          <t>Valor del producto o servicio</t>
        </is>
      </c>
      <c r="E431" s="208" t="inlineStr">
        <is>
          <t>Mutuo de gran monto entre particulares.</t>
        </is>
      </c>
      <c r="F431" s="208" t="inlineStr">
        <is>
          <t>Mutuo de valor intermedio.</t>
        </is>
      </c>
      <c r="G431" s="208" t="inlineStr">
        <is>
          <t>Mutuo de bajo monto, formalizado y documentado.</t>
        </is>
      </c>
    </row>
    <row r="432" ht="18.75" customHeight="1" s="173">
      <c r="A432" s="208">
        <f>B432&amp;"-"&amp;C432</f>
        <v/>
      </c>
      <c r="B432" s="344" t="inlineStr">
        <is>
          <t>XII - NOTARIOS: Mutuo con no financiero</t>
        </is>
      </c>
      <c r="C432" s="345" t="n">
        <v>2</v>
      </c>
      <c r="D432" s="208" t="inlineStr">
        <is>
          <t>Liquidez / convertibilidad</t>
        </is>
      </c>
      <c r="E432" s="208" t="inlineStr">
        <is>
          <t>Préstamo que permite mover o disponer de recursos con rapidez.</t>
        </is>
      </c>
      <c r="F432" s="208" t="inlineStr">
        <is>
          <t>Mutuo con disposición condicionada.</t>
        </is>
      </c>
      <c r="G432" s="208" t="inlineStr">
        <is>
          <t>Mutuo de bajo monto con calendario definido.</t>
        </is>
      </c>
    </row>
    <row r="433" ht="18.75" customHeight="1" s="173">
      <c r="A433" s="208">
        <f>B433&amp;"-"&amp;C433</f>
        <v/>
      </c>
      <c r="B433" s="344" t="inlineStr">
        <is>
          <t>XII - NOTARIOS: Mutuo con no financiero</t>
        </is>
      </c>
      <c r="C433" s="345" t="n">
        <v>3</v>
      </c>
      <c r="D433" s="208" t="inlineStr">
        <is>
          <t>Anonimato / identificación del beneficiario</t>
        </is>
      </c>
      <c r="E433" s="208" t="inlineStr">
        <is>
          <t>Mutuo que encubre al verdadero aportante o beneficiario de fondos.</t>
        </is>
      </c>
      <c r="F433" s="208" t="inlineStr">
        <is>
          <t>Partes identificables con vínculo poco claro.</t>
        </is>
      </c>
      <c r="G433" s="208" t="inlineStr">
        <is>
          <t>Mutuante y mutuatario plenamente identificados.</t>
        </is>
      </c>
    </row>
    <row r="434" ht="18.75" customHeight="1" s="173">
      <c r="A434" s="208">
        <f>B434&amp;"-"&amp;C434</f>
        <v/>
      </c>
      <c r="B434" s="344" t="inlineStr">
        <is>
          <t>XII - NOTARIOS: Mutuo con no financiero</t>
        </is>
      </c>
      <c r="C434" s="345" t="n">
        <v>4</v>
      </c>
      <c r="D434" s="208" t="inlineStr">
        <is>
          <t>Transferencia u ocultamiento de valor</t>
        </is>
      </c>
      <c r="E434" s="208" t="inlineStr">
        <is>
          <t>Contrato usado para simular y circular recursos ilícitos.</t>
        </is>
      </c>
      <c r="F434" s="208" t="inlineStr">
        <is>
          <t>Flujo del mutuo con trazabilidad parcial.</t>
        </is>
      </c>
      <c r="G434" s="208" t="inlineStr">
        <is>
          <t>Flujo del mutuo plenamente trazable.</t>
        </is>
      </c>
    </row>
    <row r="435" ht="18.75" customHeight="1" s="173">
      <c r="A435" s="208">
        <f>B435&amp;"-"&amp;C435</f>
        <v/>
      </c>
      <c r="B435" s="344" t="inlineStr">
        <is>
          <t>XII - NOTARIOS: Mutuo con no financiero</t>
        </is>
      </c>
      <c r="C435" s="345" t="n">
        <v>5</v>
      </c>
      <c r="D435" s="208" t="inlineStr">
        <is>
          <t>Exposición del acto u operación al financiamiento al terrorismo</t>
        </is>
      </c>
      <c r="E435" s="208" t="inlineStr">
        <is>
          <t>Mutuos con mutuante o mutuatario vinculado con personas u organizaciones señaladas en listas de sanciones.</t>
        </is>
      </c>
      <c r="F435" s="208" t="inlineStr">
        <is>
          <t>Mutuos entre partes sin relación acreditada o con recursos del extranjero, sin coincidencias en listas.</t>
        </is>
      </c>
      <c r="G435" s="208" t="inlineStr">
        <is>
          <t>Mutuo entre partes identificadas, con capacidad económica acreditada y entrega bancarizada.</t>
        </is>
      </c>
    </row>
    <row r="436" ht="18.75" customHeight="1" s="173">
      <c r="A436" s="208">
        <f>B436&amp;"-"&amp;C436</f>
        <v/>
      </c>
      <c r="B436" s="344" t="inlineStr">
        <is>
          <t>XII - NOTARIOS: Mutuo con no financiero</t>
        </is>
      </c>
      <c r="C436" s="345" t="n">
        <v>6</v>
      </c>
      <c r="D436" s="208" t="inlineStr">
        <is>
          <t>Tipo de persona y estructura</t>
        </is>
      </c>
      <c r="E436" s="208" t="inlineStr">
        <is>
          <t>Mutuante persona moral extranjera o estructura opaca.</t>
        </is>
      </c>
      <c r="F436" s="208" t="inlineStr">
        <is>
          <t>Parte persona moral nacional estándar.</t>
        </is>
      </c>
      <c r="G436" s="208" t="inlineStr">
        <is>
          <t>Partes persona física identificadas.</t>
        </is>
      </c>
    </row>
    <row r="437" ht="18.75" customHeight="1" s="173">
      <c r="A437" s="208">
        <f>B437&amp;"-"&amp;C437</f>
        <v/>
      </c>
      <c r="B437" s="344" t="inlineStr">
        <is>
          <t>XII - NOTARIOS: Mutuo con no financiero</t>
        </is>
      </c>
      <c r="C437" s="345" t="n">
        <v>7</v>
      </c>
      <c r="D437" s="208" t="inlineStr">
        <is>
          <t>Edad / fecha de constitución</t>
        </is>
      </c>
      <c r="E437" s="208" t="inlineStr">
        <is>
          <t>Mutuante o mutuatario de perfil atípico o entidad recién creada.</t>
        </is>
      </c>
      <c r="F437" s="208" t="inlineStr">
        <is>
          <t>Partes con antigüedad intermedia.</t>
        </is>
      </c>
      <c r="G437" s="208" t="inlineStr">
        <is>
          <t>Partes consolidadas con historial verificable.</t>
        </is>
      </c>
    </row>
    <row r="438" ht="18.75" customHeight="1" s="173">
      <c r="A438" s="208">
        <f>B438&amp;"-"&amp;C438</f>
        <v/>
      </c>
      <c r="B438" s="344" t="inlineStr">
        <is>
          <t>XII - NOTARIOS: Mutuo con no financiero</t>
        </is>
      </c>
      <c r="C438" s="345" t="n">
        <v>8</v>
      </c>
      <c r="D438" s="208" t="inlineStr">
        <is>
          <t>Actividad económica o giro (y fuente de ingresos)</t>
        </is>
      </c>
      <c r="E438" s="208" t="inlineStr">
        <is>
          <t>Prestamista con giro informal, en efectivo o sin capacidad congruente.</t>
        </is>
      </c>
      <c r="F438" s="208" t="inlineStr">
        <is>
          <t>Giro formal de riesgo medio con ingresos documentables.</t>
        </is>
      </c>
      <c r="G438" s="208" t="inlineStr">
        <is>
          <t>Giro formal de bajo riesgo, capacidad económica congruente.</t>
        </is>
      </c>
    </row>
    <row r="439" ht="18.75" customHeight="1" s="173">
      <c r="A439" s="208">
        <f>B439&amp;"-"&amp;C439</f>
        <v/>
      </c>
      <c r="B439" s="344" t="inlineStr">
        <is>
          <t>XII - NOTARIOS: Mutuo con no financiero</t>
        </is>
      </c>
      <c r="C439" s="345" t="n">
        <v>9</v>
      </c>
      <c r="D439" s="208" t="inlineStr">
        <is>
          <t>Nacionalidad del cliente</t>
        </is>
      </c>
      <c r="E439" s="208" t="inlineStr">
        <is>
          <t>Cliente de país en listas GAFI, sancionado o de régimen fiscal preferente.</t>
        </is>
      </c>
      <c r="F439" s="208" t="inlineStr">
        <is>
          <t>Nacionalidad extranjera de país sin alertas relevantes.</t>
        </is>
      </c>
      <c r="G439" s="208" t="inlineStr">
        <is>
          <t>Cliente mexicano o de país cooperante sin observaciones.</t>
        </is>
      </c>
    </row>
    <row r="440" ht="18.75" customHeight="1" s="173">
      <c r="A440" s="208">
        <f>B440&amp;"-"&amp;C440</f>
        <v/>
      </c>
      <c r="B440" s="344" t="inlineStr">
        <is>
          <t>XII - NOTARIOS: Mutuo con no financiero</t>
        </is>
      </c>
      <c r="C440" s="345" t="n">
        <v>10</v>
      </c>
      <c r="D440" s="208" t="inlineStr">
        <is>
          <t>País (y en su caso, estado) de residencia del cliente</t>
        </is>
      </c>
      <c r="E440" s="208" t="inlineStr">
        <is>
          <t>Reside en jurisdicción de alto riesgo o con domicilio no verificable.</t>
        </is>
      </c>
      <c r="F440" s="208" t="inlineStr">
        <is>
          <t>Reside en el extranjero en país cooperante, con domicilio comprobable.</t>
        </is>
      </c>
      <c r="G440" s="208" t="inlineStr">
        <is>
          <t>Residencia nacional verificada y estable.</t>
        </is>
      </c>
    </row>
    <row r="441" ht="18.75" customHeight="1" s="173">
      <c r="A441" s="208">
        <f>B441&amp;"-"&amp;C441</f>
        <v/>
      </c>
      <c r="B441" s="344" t="inlineStr">
        <is>
          <t>XII - NOTARIOS: Mutuo con no financiero</t>
        </is>
      </c>
      <c r="C441" s="345" t="n">
        <v>11</v>
      </c>
      <c r="D441" s="208" t="inlineStr">
        <is>
          <t>Condición PEP</t>
        </is>
      </c>
      <c r="E441" s="208" t="inlineStr">
        <is>
          <t>PEP nacional o extranjera, o allegado que actua por su cuenta.</t>
        </is>
      </c>
      <c r="F441" s="208" t="inlineStr">
        <is>
          <t>Vinculo indirecto con PEP o PEP de perfil menor, monitoreado.</t>
        </is>
      </c>
      <c r="G441" s="208" t="inlineStr">
        <is>
          <t>Sin condición PEP ni vínculos con funcionarios.</t>
        </is>
      </c>
    </row>
    <row r="442" ht="18.75" customHeight="1" s="173">
      <c r="A442" s="208">
        <f>B442&amp;"-"&amp;C442</f>
        <v/>
      </c>
      <c r="B442" s="344" t="inlineStr">
        <is>
          <t>XII - NOTARIOS: Mutuo con no financiero</t>
        </is>
      </c>
      <c r="C442" s="345" t="n">
        <v>12</v>
      </c>
      <c r="D442" s="208" t="inlineStr">
        <is>
          <t>Coincidencia en listas de personas bloqueadas o de sanciones</t>
        </is>
      </c>
      <c r="E442" s="208" t="inlineStr">
        <is>
          <t>El mutuante o mutuatario, su beneficiario controlador, apoderado o contraparte aparece en la Lista de Personas Bloqueadas, en listas de sanciones o en listas de organizaciones terroristas, o presenta una coincidencia fuerte que no ha sido descartada.</t>
        </is>
      </c>
      <c r="F442" s="208" t="inlineStr">
        <is>
          <t>Se detecta coincidencia parcial u homonimia respecto del mutuante o mutuatario o de alguna persona relacionada, y el descarte se encuentra en proceso con constancia documental.</t>
        </is>
      </c>
      <c r="G442" s="208" t="inlineStr">
        <is>
          <t>Búsqueda realizada y documentada sobre el mutuante o mutuatario y sus personas relacionadas, sin coincidencias.</t>
        </is>
      </c>
    </row>
    <row r="443" ht="18.75" customHeight="1" s="173">
      <c r="A443" s="208">
        <f>B443&amp;"-"&amp;C443</f>
        <v/>
      </c>
      <c r="B443" s="344" t="inlineStr">
        <is>
          <t>XII - NOTARIOS: Mutuo con no financiero</t>
        </is>
      </c>
      <c r="C443" s="345" t="n">
        <v>13</v>
      </c>
      <c r="D443" s="208" t="inlineStr">
        <is>
          <t>Identificación y complejidad del Beneficiario Controlador</t>
        </is>
      </c>
      <c r="E443" s="208" t="inlineStr">
        <is>
          <t>No se logra identificar al beneficiario controlador del mutuante o mutuatario, o la estructura interpone dos o más niveles societarios, fiduciarios o vehículos constituidos en el extranjero para llegar al 25 por ciento.</t>
        </is>
      </c>
      <c r="F443" s="208" t="inlineStr">
        <is>
          <t>Beneficiario controlador identificado, pero a través de una estructura de más de un nivel o con participación indirecta que exigió reconstruir la cadena de control con documentos.</t>
        </is>
      </c>
      <c r="G443" s="208" t="inlineStr">
        <is>
          <t>Beneficiario controlador identificado de forma directa y documentada: persona física que posee al menos el 25 por ciento o que ejerce el control por otra vía acreditada.</t>
        </is>
      </c>
    </row>
    <row r="444" ht="18.75" customHeight="1" s="173">
      <c r="A444" s="208">
        <f>B444&amp;"-"&amp;C444</f>
        <v/>
      </c>
      <c r="B444" s="344" t="inlineStr">
        <is>
          <t>XII - NOTARIOS: Mutuo con no financiero</t>
        </is>
      </c>
      <c r="C444" s="345" t="n">
        <v>14</v>
      </c>
      <c r="D444" s="208" t="inlineStr">
        <is>
          <t>País / jurisdicción donde se realiza la operación</t>
        </is>
      </c>
      <c r="E444" s="208" t="inlineStr">
        <is>
          <t>Operación con o desde jurisdicción de alto riesgo o no cooperante.</t>
        </is>
      </c>
      <c r="F444" s="208" t="inlineStr">
        <is>
          <t>Operación con componente internacional en país cooperante.</t>
        </is>
      </c>
      <c r="G444" s="208" t="inlineStr">
        <is>
          <t>Operación integramente nacional.</t>
        </is>
      </c>
    </row>
    <row r="445" ht="18.75" customHeight="1" s="173">
      <c r="A445" s="208">
        <f>B445&amp;"-"&amp;C445</f>
        <v/>
      </c>
      <c r="B445" s="344" t="inlineStr">
        <is>
          <t>XII - NOTARIOS: Mutuo con no financiero</t>
        </is>
      </c>
      <c r="C445" s="345" t="n">
        <v>15</v>
      </c>
      <c r="D445" s="208" t="inlineStr">
        <is>
          <t>Área geográfica nacional de la operación</t>
        </is>
      </c>
      <c r="E445" s="208" t="inlineStr">
        <is>
          <t>Zona de alta incidencia delictiva, marginacion o frontera.</t>
        </is>
      </c>
      <c r="F445" s="208" t="inlineStr">
        <is>
          <t>Zona urbana ordinaria sin alertas particulares.</t>
        </is>
      </c>
      <c r="G445" s="208" t="inlineStr">
        <is>
          <t>Zona de bajo riesgo con actividad económica formal.</t>
        </is>
      </c>
    </row>
    <row r="446" ht="18.75" customHeight="1" s="173">
      <c r="A446" s="208">
        <f>B446&amp;"-"&amp;C446</f>
        <v/>
      </c>
      <c r="B446" s="344" t="inlineStr">
        <is>
          <t>XII - NOTARIOS: Mutuo con no financiero</t>
        </is>
      </c>
      <c r="C446" s="345" t="n">
        <v>16</v>
      </c>
      <c r="D446" s="208" t="inlineStr">
        <is>
          <t>Vínculo con jurisdicciones sancionadas, en conflicto o de acción requerida por el GAFI</t>
        </is>
      </c>
      <c r="E446" s="208" t="inlineStr">
        <is>
          <t>Existe exposición a jurisdicciones sancionadas, en conflicto armado o de acción requerida del GAFI, por la vía de mutuante o recursos provenientes del extranjero.</t>
        </is>
      </c>
      <c r="F446" s="208" t="inlineStr">
        <is>
          <t>Vínculo con jurisdicciones bajo monitoreo intensificado del GAFI o con deficiencias señaladas en la ENR, sin estar sancionadas ni en conflicto.</t>
        </is>
      </c>
      <c r="G446" s="208" t="inlineStr">
        <is>
          <t>Sin vínculo con jurisdicciones sancionadas, en conflicto o listadas por el GAFI; la operación y sus partes se ubican en plazas sin señalamientos.</t>
        </is>
      </c>
    </row>
    <row r="447" ht="18.75" customHeight="1" s="173">
      <c r="A447" s="208">
        <f>B447&amp;"-"&amp;C447</f>
        <v/>
      </c>
      <c r="B447" s="344" t="inlineStr">
        <is>
          <t>XII - NOTARIOS: Mutuo con no financiero</t>
        </is>
      </c>
      <c r="C447" s="345" t="n">
        <v>17</v>
      </c>
      <c r="D447" s="208" t="inlineStr">
        <is>
          <t>Congruencia entre el domicilio del Cliente y el lugar de la operación</t>
        </is>
      </c>
      <c r="E447" s="208" t="inlineStr">
        <is>
          <t>El domicilio del mutuante o mutuatario no guarda relación económica ni logística con el lugar donde se realiza el otorgamiento del mutuo, y no existe explicación documentada del desplazamiento.</t>
        </is>
      </c>
      <c r="F447" s="208" t="inlineStr">
        <is>
          <t>Existe distancia relevante entre el domicilio del mutuante o mutuatario y el lugar de la operación, con explicación plausible pero no soportada en el expediente.</t>
        </is>
      </c>
      <c r="G447" s="208" t="inlineStr">
        <is>
          <t>El domicilio del mutuante o mutuatario corresponde a la plaza donde se realiza el otorgamiento del mutuo, o el desplazamiento está justificado y documentado.</t>
        </is>
      </c>
    </row>
    <row r="448" ht="18.75" customHeight="1" s="173">
      <c r="A448" s="208">
        <f>B448&amp;"-"&amp;C448</f>
        <v/>
      </c>
      <c r="B448" s="344" t="inlineStr">
        <is>
          <t>XII - NOTARIOS: Mutuo con no financiero</t>
        </is>
      </c>
      <c r="C448" s="345" t="n">
        <v>18</v>
      </c>
      <c r="D448" s="208" t="inlineStr">
        <is>
          <t>Instrumento monetario</t>
        </is>
      </c>
      <c r="E448" s="208" t="inlineStr">
        <is>
          <t>Entrega del préstamo en efectivo o instrumentos al portador.</t>
        </is>
      </c>
      <c r="F448" s="208" t="inlineStr">
        <is>
          <t>Entrega mediante cheque o transferencia con trazabilidad parcial.</t>
        </is>
      </c>
      <c r="G448" s="208" t="inlineStr">
        <is>
          <t>Entrega mediante transferencia bancaria nominativa trazable.</t>
        </is>
      </c>
    </row>
    <row r="449" ht="18.75" customHeight="1" s="173">
      <c r="A449" s="208">
        <f>B449&amp;"-"&amp;C449</f>
        <v/>
      </c>
      <c r="B449" s="344" t="inlineStr">
        <is>
          <t>XII - NOTARIOS: Mutuo con no financiero</t>
        </is>
      </c>
      <c r="C449" s="345" t="n">
        <v>19</v>
      </c>
      <c r="D449" s="208" t="inlineStr">
        <is>
          <t>Tipo de moneda</t>
        </is>
      </c>
      <c r="E449" s="208" t="inlineStr">
        <is>
          <t>Moneda extranjera distinta al USD o criptomonedas.</t>
        </is>
      </c>
      <c r="F449" s="208" t="inlineStr">
        <is>
          <t>Operación en dolares estadounidenses (USD).</t>
        </is>
      </c>
      <c r="G449" s="208" t="inlineStr">
        <is>
          <t>Operación en pesos mexicanos.</t>
        </is>
      </c>
    </row>
    <row r="450" ht="18.75" customHeight="1" s="173">
      <c r="A450" s="208">
        <f>B450&amp;"-"&amp;C450</f>
        <v/>
      </c>
      <c r="B450" s="344" t="inlineStr">
        <is>
          <t>XII - NOTARIOS: Mutuo con no financiero</t>
        </is>
      </c>
      <c r="C450" s="345" t="n">
        <v>20</v>
      </c>
      <c r="D450" s="208" t="inlineStr">
        <is>
          <t>Monto frente a umbrales LFPIORPI</t>
        </is>
      </c>
      <c r="E450" s="208" t="inlineStr">
        <is>
          <t>Aviso obligatorio siempre; mutuo de monto elevado.</t>
        </is>
      </c>
      <c r="F450" s="208" t="inlineStr">
        <is>
          <t>Aviso obligatorio siempre; mutuo de monto intermedio.</t>
        </is>
      </c>
      <c r="G450" s="208" t="inlineStr">
        <is>
          <t>Aviso obligatorio siempre; mutuo de monto reducido.</t>
        </is>
      </c>
    </row>
    <row r="451" ht="18.75" customHeight="1" s="173">
      <c r="A451" s="208">
        <f>B451&amp;"-"&amp;C451</f>
        <v/>
      </c>
      <c r="B451" s="344" t="inlineStr">
        <is>
          <t>XII - NOTARIOS: Mutuo con no financiero</t>
        </is>
      </c>
      <c r="C451" s="345" t="n">
        <v>21</v>
      </c>
      <c r="D451" s="208" t="inlineStr">
        <is>
          <t>Frecuencia (fraccionamiento)</t>
        </is>
      </c>
      <c r="E451" s="208" t="inlineStr">
        <is>
          <t>Mutuos frecuentes o fraccionados entre las mismas partes.</t>
        </is>
      </c>
      <c r="F451" s="208" t="inlineStr">
        <is>
          <t>Mutuos ocasionales sin patron evidente.</t>
        </is>
      </c>
      <c r="G451" s="208" t="inlineStr">
        <is>
          <t>Mutuo único, congruente con el perfil.</t>
        </is>
      </c>
    </row>
    <row r="452" ht="18.75" customHeight="1" s="173">
      <c r="A452" s="208">
        <f>B452&amp;"-"&amp;C452</f>
        <v/>
      </c>
      <c r="B452" s="344" t="inlineStr">
        <is>
          <t>XII - NOTARIOS: Mutuo con no financiero</t>
        </is>
      </c>
      <c r="C452" s="345" t="n">
        <v>22</v>
      </c>
      <c r="D452" s="208" t="inlineStr">
        <is>
          <t>Canal (presencial / no presencial / terceros)</t>
        </is>
      </c>
      <c r="E452" s="208" t="inlineStr">
        <is>
          <t>Operación no presencial o a traves de terceros sin contacto directo.</t>
        </is>
      </c>
      <c r="F452" s="208" t="inlineStr">
        <is>
          <t>Contacto mixto o mediante representante identificado.</t>
        </is>
      </c>
      <c r="G452" s="208" t="inlineStr">
        <is>
          <t>Cliente atendido de forma presencial y directa.</t>
        </is>
      </c>
    </row>
    <row r="453" ht="18.75" customHeight="1" s="173">
      <c r="A453" s="208">
        <f>B453&amp;"-"&amp;C453</f>
        <v/>
      </c>
      <c r="B453" s="344" t="inlineStr">
        <is>
          <t>XII - NOTARIOS: Mutuo con no financiero</t>
        </is>
      </c>
      <c r="C453" s="345" t="n">
        <v>23</v>
      </c>
      <c r="D453" s="208" t="inlineStr">
        <is>
          <t>Origen de los recursos</t>
        </is>
      </c>
      <c r="E453" s="208" t="inlineStr">
        <is>
          <t>Recursos prestados de origen no acreditable, en efectivo o informal.</t>
        </is>
      </c>
      <c r="F453" s="208" t="inlineStr">
        <is>
          <t>Origen de los fondos con soporte parcial.</t>
        </is>
      </c>
      <c r="G453" s="208" t="inlineStr">
        <is>
          <t>Fondos de origen lícito documentado.</t>
        </is>
      </c>
    </row>
    <row r="454" ht="18.75" customHeight="1" s="173">
      <c r="A454" s="208">
        <f>B454&amp;"-"&amp;C454</f>
        <v/>
      </c>
      <c r="B454" s="344" t="inlineStr">
        <is>
          <t>XII - NOTARIOS: Mutuo con no financiero</t>
        </is>
      </c>
      <c r="C454" s="345" t="n">
        <v>24</v>
      </c>
      <c r="D454" s="208" t="inlineStr">
        <is>
          <t>Destino de los recursos</t>
        </is>
      </c>
      <c r="E454" s="208" t="inlineStr">
        <is>
          <t>Destino del préstamo opaco, a terceros o al exterior sin justificación.</t>
        </is>
      </c>
      <c r="F454" s="208" t="inlineStr">
        <is>
          <t>Destino del préstamo parcialmente justificado.</t>
        </is>
      </c>
      <c r="G454" s="208" t="inlineStr">
        <is>
          <t>Destino del préstamo claro y documentado.</t>
        </is>
      </c>
    </row>
    <row r="455" ht="18.75" customHeight="1" s="173">
      <c r="A455" s="208">
        <f>B455&amp;"-"&amp;C455</f>
        <v/>
      </c>
      <c r="B455" s="344" t="inlineStr">
        <is>
          <t>XII - NOTARIOS: Mutuo con no financiero</t>
        </is>
      </c>
      <c r="C455" s="345" t="n">
        <v>25</v>
      </c>
      <c r="D455" s="208" t="inlineStr">
        <is>
          <t>Canales e instrumentos idóneos para el financiamiento al terrorismo</t>
        </is>
      </c>
      <c r="E455" s="208" t="inlineStr">
        <is>
          <t>La operación se realiza mediante formalización a distancia con entrega en efectivo, es decir, medios que permiten mover valor en montos pequeños sin identificar al destinatario final.</t>
        </is>
      </c>
      <c r="F455" s="208" t="inlineStr">
        <is>
          <t>Canal mixto o con verificación parcial: hay registro de la operación pero la trazabilidad del destinatario final es incompleta.</t>
        </is>
      </c>
      <c r="G455" s="208" t="inlineStr">
        <is>
          <t>Formalización con ambas partes identificadas y entrega bancarizada, con trazabilidad completa del origen y del destinatario.</t>
        </is>
      </c>
    </row>
    <row r="456" ht="18.75" customHeight="1" s="173">
      <c r="A456" s="208">
        <f>B456&amp;"-"&amp;C456</f>
        <v/>
      </c>
      <c r="B456" s="344" t="inlineStr">
        <is>
          <t>XII - CORREDORES: Avalúos</t>
        </is>
      </c>
      <c r="C456" s="345" t="n">
        <v>1</v>
      </c>
      <c r="D456" s="208" t="inlineStr">
        <is>
          <t>Valor del producto o servicio</t>
        </is>
      </c>
      <c r="E456" s="208" t="inlineStr">
        <is>
          <t>Avalúo de bienes de alto valor.</t>
        </is>
      </c>
      <c r="F456" s="208" t="inlineStr">
        <is>
          <t>Avalúo de bienes de valor intermedio.</t>
        </is>
      </c>
      <c r="G456" s="208" t="inlineStr">
        <is>
          <t>Avalúo de bienes de bajo valor o vivienda social.</t>
        </is>
      </c>
    </row>
    <row r="457" ht="18.75" customHeight="1" s="173">
      <c r="A457" s="208">
        <f>B457&amp;"-"&amp;C457</f>
        <v/>
      </c>
      <c r="B457" s="344" t="inlineStr">
        <is>
          <t>XII - CORREDORES: Avalúos</t>
        </is>
      </c>
      <c r="C457" s="345" t="n">
        <v>2</v>
      </c>
      <c r="D457" s="208" t="inlineStr">
        <is>
          <t>Liquidez / convertibilidad</t>
        </is>
      </c>
      <c r="E457" s="208" t="inlineStr">
        <is>
          <t>Avalúo que respalda operaciones de rapida conversión del bien.</t>
        </is>
      </c>
      <c r="F457" s="208" t="inlineStr">
        <is>
          <t>Avalúo asociado a bienes de convertibilidad media.</t>
        </is>
      </c>
      <c r="G457" s="208" t="inlineStr">
        <is>
          <t>Avalúo de bien de baja convertibilidad.</t>
        </is>
      </c>
    </row>
    <row r="458" ht="18.75" customHeight="1" s="173">
      <c r="A458" s="208">
        <f>B458&amp;"-"&amp;C458</f>
        <v/>
      </c>
      <c r="B458" s="344" t="inlineStr">
        <is>
          <t>XII - CORREDORES: Avalúos</t>
        </is>
      </c>
      <c r="C458" s="345" t="n">
        <v>3</v>
      </c>
      <c r="D458" s="208" t="inlineStr">
        <is>
          <t>Anonimato / identificación del beneficiario</t>
        </is>
      </c>
      <c r="E458" s="208" t="inlineStr">
        <is>
          <t>Avalúo solicitado por interpósita persona que oculta al beneficiario.</t>
        </is>
      </c>
      <c r="F458" s="208" t="inlineStr">
        <is>
          <t>Solicitante identificable con vínculo poco claro con el bien.</t>
        </is>
      </c>
      <c r="G458" s="208" t="inlineStr">
        <is>
          <t>Solicitante y titular del bien plenamente identificados.</t>
        </is>
      </c>
    </row>
    <row r="459" ht="18.75" customHeight="1" s="173">
      <c r="A459" s="208">
        <f>B459&amp;"-"&amp;C459</f>
        <v/>
      </c>
      <c r="B459" s="344" t="inlineStr">
        <is>
          <t>XII - CORREDORES: Avalúos</t>
        </is>
      </c>
      <c r="C459" s="345" t="n">
        <v>4</v>
      </c>
      <c r="D459" s="208" t="inlineStr">
        <is>
          <t>Transferencia u ocultamiento de valor</t>
        </is>
      </c>
      <c r="E459" s="208" t="inlineStr">
        <is>
          <t>Valuación usada para inflar o justificar patrimonio de origen ilícito.</t>
        </is>
      </c>
      <c r="F459" s="208" t="inlineStr">
        <is>
          <t>Valuación con parámetros parcialmente sustentados.</t>
        </is>
      </c>
      <c r="G459" s="208" t="inlineStr">
        <is>
          <t>Valuación objetiva y plenamente sustentada.</t>
        </is>
      </c>
    </row>
    <row r="460" ht="18.75" customHeight="1" s="173">
      <c r="A460" s="208">
        <f>B460&amp;"-"&amp;C460</f>
        <v/>
      </c>
      <c r="B460" s="344" t="inlineStr">
        <is>
          <t>XII - CORREDORES: Avalúos</t>
        </is>
      </c>
      <c r="C460" s="345" t="n">
        <v>5</v>
      </c>
      <c r="D460" s="208" t="inlineStr">
        <is>
          <t>Exposición del acto u operación al financiamiento al terrorismo</t>
        </is>
      </c>
      <c r="E460" s="208" t="inlineStr">
        <is>
          <t>Avalúos solicitados por personas señaladas en listas de sanciones o respecto de bienes vinculados con ellas.</t>
        </is>
      </c>
      <c r="F460" s="208" t="inlineStr">
        <is>
          <t>Solicitantes que no acreditan su interés sobre el bien, sin coincidencias en listas.</t>
        </is>
      </c>
      <c r="G460" s="208" t="inlineStr">
        <is>
          <t>Solicitante identificado, con interés jurídico acreditado y finalidad declarada del avalúo.</t>
        </is>
      </c>
    </row>
    <row r="461" ht="18.75" customHeight="1" s="173">
      <c r="A461" s="208">
        <f>B461&amp;"-"&amp;C461</f>
        <v/>
      </c>
      <c r="B461" s="344" t="inlineStr">
        <is>
          <t>XII - CORREDORES: Avalúos</t>
        </is>
      </c>
      <c r="C461" s="345" t="n">
        <v>6</v>
      </c>
      <c r="D461" s="208" t="inlineStr">
        <is>
          <t>Tipo de persona y estructura</t>
        </is>
      </c>
      <c r="E461" s="208" t="inlineStr">
        <is>
          <t>Solicitante persona moral extranjera o estructura opaca.</t>
        </is>
      </c>
      <c r="F461" s="208" t="inlineStr">
        <is>
          <t>Solicitante persona moral nacional estándar.</t>
        </is>
      </c>
      <c r="G461" s="208" t="inlineStr">
        <is>
          <t>Solicitante persona física identificada.</t>
        </is>
      </c>
    </row>
    <row r="462" ht="18.75" customHeight="1" s="173">
      <c r="A462" s="208">
        <f>B462&amp;"-"&amp;C462</f>
        <v/>
      </c>
      <c r="B462" s="344" t="inlineStr">
        <is>
          <t>XII - CORREDORES: Avalúos</t>
        </is>
      </c>
      <c r="C462" s="345" t="n">
        <v>7</v>
      </c>
      <c r="D462" s="208" t="inlineStr">
        <is>
          <t>Edad / fecha de constitución</t>
        </is>
      </c>
      <c r="E462" s="208" t="inlineStr">
        <is>
          <t>Bien recién adquirido o solicitante de perfil atípico.</t>
        </is>
      </c>
      <c r="F462" s="208" t="inlineStr">
        <is>
          <t>Antiguedad intermedia de la tenencia o del solicitante.</t>
        </is>
      </c>
      <c r="G462" s="208" t="inlineStr">
        <is>
          <t>Tenencia consolidada y solicitante con historial verificable.</t>
        </is>
      </c>
    </row>
    <row r="463" ht="18.75" customHeight="1" s="173">
      <c r="A463" s="208">
        <f>B463&amp;"-"&amp;C463</f>
        <v/>
      </c>
      <c r="B463" s="344" t="inlineStr">
        <is>
          <t>XII - CORREDORES: Avalúos</t>
        </is>
      </c>
      <c r="C463" s="345" t="n">
        <v>8</v>
      </c>
      <c r="D463" s="208" t="inlineStr">
        <is>
          <t>Actividad económica o giro (y fuente de ingresos)</t>
        </is>
      </c>
      <c r="E463" s="208" t="inlineStr">
        <is>
          <t>Solicitante con giro informal, en efectivo o ligado a otras AV.</t>
        </is>
      </c>
      <c r="F463" s="208" t="inlineStr">
        <is>
          <t>Giro formal de riesgo medio.</t>
        </is>
      </c>
      <c r="G463" s="208" t="inlineStr">
        <is>
          <t>Giro formal de bajo riesgo con ingresos claros.</t>
        </is>
      </c>
    </row>
    <row r="464" ht="18.75" customHeight="1" s="173">
      <c r="A464" s="208">
        <f>B464&amp;"-"&amp;C464</f>
        <v/>
      </c>
      <c r="B464" s="344" t="inlineStr">
        <is>
          <t>XII - CORREDORES: Avalúos</t>
        </is>
      </c>
      <c r="C464" s="345" t="n">
        <v>9</v>
      </c>
      <c r="D464" s="208" t="inlineStr">
        <is>
          <t>Nacionalidad del cliente</t>
        </is>
      </c>
      <c r="E464" s="208" t="inlineStr">
        <is>
          <t>Cliente de país en listas GAFI, sancionado o de régimen fiscal preferente.</t>
        </is>
      </c>
      <c r="F464" s="208" t="inlineStr">
        <is>
          <t>Nacionalidad extranjera de país sin alertas relevantes.</t>
        </is>
      </c>
      <c r="G464" s="208" t="inlineStr">
        <is>
          <t>Cliente mexicano o de país cooperante sin observaciones.</t>
        </is>
      </c>
    </row>
    <row r="465" ht="18.75" customHeight="1" s="173">
      <c r="A465" s="208">
        <f>B465&amp;"-"&amp;C465</f>
        <v/>
      </c>
      <c r="B465" s="344" t="inlineStr">
        <is>
          <t>XII - CORREDORES: Avalúos</t>
        </is>
      </c>
      <c r="C465" s="345" t="n">
        <v>10</v>
      </c>
      <c r="D465" s="208" t="inlineStr">
        <is>
          <t>País (y en su caso, estado) de residencia del cliente</t>
        </is>
      </c>
      <c r="E465" s="208" t="inlineStr">
        <is>
          <t>Reside en jurisdicción de alto riesgo o con domicilio no verificable.</t>
        </is>
      </c>
      <c r="F465" s="208" t="inlineStr">
        <is>
          <t>Reside en el extranjero en país cooperante, con domicilio comprobable.</t>
        </is>
      </c>
      <c r="G465" s="208" t="inlineStr">
        <is>
          <t>Residencia nacional verificada y estable.</t>
        </is>
      </c>
    </row>
    <row r="466" ht="18.75" customHeight="1" s="173">
      <c r="A466" s="208">
        <f>B466&amp;"-"&amp;C466</f>
        <v/>
      </c>
      <c r="B466" s="344" t="inlineStr">
        <is>
          <t>XII - CORREDORES: Avalúos</t>
        </is>
      </c>
      <c r="C466" s="345" t="n">
        <v>11</v>
      </c>
      <c r="D466" s="208" t="inlineStr">
        <is>
          <t>Condición PEP</t>
        </is>
      </c>
      <c r="E466" s="208" t="inlineStr">
        <is>
          <t>PEP nacional o extranjera, o allegado que actua por su cuenta.</t>
        </is>
      </c>
      <c r="F466" s="208" t="inlineStr">
        <is>
          <t>Vinculo indirecto con PEP o PEP de perfil menor, monitoreado.</t>
        </is>
      </c>
      <c r="G466" s="208" t="inlineStr">
        <is>
          <t>Sin condición PEP ni vínculos con funcionarios.</t>
        </is>
      </c>
    </row>
    <row r="467" ht="18.75" customHeight="1" s="173">
      <c r="A467" s="208">
        <f>B467&amp;"-"&amp;C467</f>
        <v/>
      </c>
      <c r="B467" s="344" t="inlineStr">
        <is>
          <t>XII - CORREDORES: Avalúos</t>
        </is>
      </c>
      <c r="C467" s="345" t="n">
        <v>12</v>
      </c>
      <c r="D467" s="208" t="inlineStr">
        <is>
          <t>Coincidencia en listas de personas bloqueadas o de sanciones</t>
        </is>
      </c>
      <c r="E467" s="208" t="inlineStr">
        <is>
          <t>El solicitante, su beneficiario controlador, apoderado o contraparte aparece en la Lista de Personas Bloqueadas, en listas de sanciones o en listas de organizaciones terroristas, o presenta una coincidencia fuerte que no ha sido descartada.</t>
        </is>
      </c>
      <c r="F467" s="208" t="inlineStr">
        <is>
          <t>Se detecta coincidencia parcial u homonimia respecto del solicitante o de alguna persona relacionada, y el descarte se encuentra en proceso con constancia documental.</t>
        </is>
      </c>
      <c r="G467" s="208" t="inlineStr">
        <is>
          <t>Búsqueda realizada y documentada sobre el solicitante y sus personas relacionadas, sin coincidencias.</t>
        </is>
      </c>
    </row>
    <row r="468" ht="18.75" customHeight="1" s="173">
      <c r="A468" s="208">
        <f>B468&amp;"-"&amp;C468</f>
        <v/>
      </c>
      <c r="B468" s="344" t="inlineStr">
        <is>
          <t>XII - CORREDORES: Avalúos</t>
        </is>
      </c>
      <c r="C468" s="345" t="n">
        <v>13</v>
      </c>
      <c r="D468" s="208" t="inlineStr">
        <is>
          <t>Identificación y complejidad del Beneficiario Controlador</t>
        </is>
      </c>
      <c r="E468" s="208" t="inlineStr">
        <is>
          <t>No se logra identificar al beneficiario controlador del solicitante, o la estructura interpone dos o más niveles societarios, fiduciarios o vehículos constituidos en el extranjero para llegar al 25 por ciento.</t>
        </is>
      </c>
      <c r="F468" s="208" t="inlineStr">
        <is>
          <t>Beneficiario controlador identificado, pero a través de una estructura de más de un nivel o con participación indirecta que exigió reconstruir la cadena de control con documentos.</t>
        </is>
      </c>
      <c r="G468" s="208" t="inlineStr">
        <is>
          <t>Beneficiario controlador identificado de forma directa y documentada: persona física que posee al menos el 25 por ciento o que ejerce el control por otra vía acreditada.</t>
        </is>
      </c>
    </row>
    <row r="469" ht="18.75" customHeight="1" s="173">
      <c r="A469" s="208">
        <f>B469&amp;"-"&amp;C469</f>
        <v/>
      </c>
      <c r="B469" s="344" t="inlineStr">
        <is>
          <t>XII - CORREDORES: Avalúos</t>
        </is>
      </c>
      <c r="C469" s="345" t="n">
        <v>14</v>
      </c>
      <c r="D469" s="208" t="inlineStr">
        <is>
          <t>País / jurisdicción donde se realiza la operación</t>
        </is>
      </c>
      <c r="E469" s="208" t="inlineStr">
        <is>
          <t>Operación con o desde jurisdicción de alto riesgo o no cooperante.</t>
        </is>
      </c>
      <c r="F469" s="208" t="inlineStr">
        <is>
          <t>Operación con componente internacional en país cooperante.</t>
        </is>
      </c>
      <c r="G469" s="208" t="inlineStr">
        <is>
          <t>Operación integramente nacional.</t>
        </is>
      </c>
    </row>
    <row r="470" ht="18.75" customHeight="1" s="173">
      <c r="A470" s="208">
        <f>B470&amp;"-"&amp;C470</f>
        <v/>
      </c>
      <c r="B470" s="344" t="inlineStr">
        <is>
          <t>XII - CORREDORES: Avalúos</t>
        </is>
      </c>
      <c r="C470" s="345" t="n">
        <v>15</v>
      </c>
      <c r="D470" s="208" t="inlineStr">
        <is>
          <t>Área geográfica nacional de la operación</t>
        </is>
      </c>
      <c r="E470" s="208" t="inlineStr">
        <is>
          <t>Zona de alta incidencia delictiva, marginacion o frontera.</t>
        </is>
      </c>
      <c r="F470" s="208" t="inlineStr">
        <is>
          <t>Zona urbana ordinaria sin alertas particulares.</t>
        </is>
      </c>
      <c r="G470" s="208" t="inlineStr">
        <is>
          <t>Zona de bajo riesgo con actividad económica formal.</t>
        </is>
      </c>
    </row>
    <row r="471" ht="18.75" customHeight="1" s="173">
      <c r="A471" s="208">
        <f>B471&amp;"-"&amp;C471</f>
        <v/>
      </c>
      <c r="B471" s="344" t="inlineStr">
        <is>
          <t>XII - CORREDORES: Avalúos</t>
        </is>
      </c>
      <c r="C471" s="345" t="n">
        <v>16</v>
      </c>
      <c r="D471" s="208" t="inlineStr">
        <is>
          <t>Vínculo con jurisdicciones sancionadas, en conflicto o de acción requerida por el GAFI</t>
        </is>
      </c>
      <c r="E471" s="208" t="inlineStr">
        <is>
          <t>Existe exposición a jurisdicciones sancionadas, en conflicto armado o de acción requerida del GAFI, por la vía de bienes o solicitantes localizados fuera del país.</t>
        </is>
      </c>
      <c r="F471" s="208" t="inlineStr">
        <is>
          <t>Vínculo con jurisdicciones bajo monitoreo intensificado del GAFI o con deficiencias señaladas en la ENR, sin estar sancionadas ni en conflicto.</t>
        </is>
      </c>
      <c r="G471" s="208" t="inlineStr">
        <is>
          <t>Sin vínculo con jurisdicciones sancionadas, en conflicto o listadas por el GAFI; la operación y sus partes se ubican en plazas sin señalamientos.</t>
        </is>
      </c>
    </row>
    <row r="472" ht="18.75" customHeight="1" s="173">
      <c r="A472" s="208">
        <f>B472&amp;"-"&amp;C472</f>
        <v/>
      </c>
      <c r="B472" s="344" t="inlineStr">
        <is>
          <t>XII - CORREDORES: Avalúos</t>
        </is>
      </c>
      <c r="C472" s="345" t="n">
        <v>17</v>
      </c>
      <c r="D472" s="208" t="inlineStr">
        <is>
          <t>Congruencia entre el domicilio del Cliente y el lugar de la operación</t>
        </is>
      </c>
      <c r="E472" s="208" t="inlineStr">
        <is>
          <t>El domicilio del solicitante no guarda relación económica ni logística con el lugar donde se realiza la práctica del avalúo, y no existe explicación documentada del desplazamiento.</t>
        </is>
      </c>
      <c r="F472" s="208" t="inlineStr">
        <is>
          <t>Existe distancia relevante entre el domicilio del solicitante y el lugar de la operación, con explicación plausible pero no soportada en el expediente.</t>
        </is>
      </c>
      <c r="G472" s="208" t="inlineStr">
        <is>
          <t>El domicilio del solicitante corresponde a la plaza donde se realiza la práctica del avalúo, o el desplazamiento está justificado y documentado.</t>
        </is>
      </c>
    </row>
    <row r="473" ht="18.75" customHeight="1" s="173">
      <c r="A473" s="208">
        <f>B473&amp;"-"&amp;C473</f>
        <v/>
      </c>
      <c r="B473" s="344" t="inlineStr">
        <is>
          <t>XII - CORREDORES: Avalúos</t>
        </is>
      </c>
      <c r="C473" s="345" t="n">
        <v>18</v>
      </c>
      <c r="D473" s="208" t="inlineStr">
        <is>
          <t>Instrumento monetario</t>
        </is>
      </c>
      <c r="E473" s="208" t="inlineStr">
        <is>
          <t>Operación subyacente u honorarios liquidados en efectivo o al portador.</t>
        </is>
      </c>
      <c r="F473" s="208" t="inlineStr">
        <is>
          <t>Pago mediante cheque o transferencia con trazabilidad parcial.</t>
        </is>
      </c>
      <c r="G473" s="208" t="inlineStr">
        <is>
          <t>Pago mediante transferencia bancaria nominativa trazable.</t>
        </is>
      </c>
    </row>
    <row r="474" ht="18.75" customHeight="1" s="173">
      <c r="A474" s="208">
        <f>B474&amp;"-"&amp;C474</f>
        <v/>
      </c>
      <c r="B474" s="344" t="inlineStr">
        <is>
          <t>XII - CORREDORES: Avalúos</t>
        </is>
      </c>
      <c r="C474" s="345" t="n">
        <v>19</v>
      </c>
      <c r="D474" s="208" t="inlineStr">
        <is>
          <t>Tipo de moneda</t>
        </is>
      </c>
      <c r="E474" s="208" t="inlineStr">
        <is>
          <t>Moneda extranjera distinta al USD o criptomonedas.</t>
        </is>
      </c>
      <c r="F474" s="208" t="inlineStr">
        <is>
          <t>Operación en dolares estadounidenses (USD).</t>
        </is>
      </c>
      <c r="G474" s="208" t="inlineStr">
        <is>
          <t>Operación en pesos mexicanos.</t>
        </is>
      </c>
    </row>
    <row r="475" ht="18.75" customHeight="1" s="173">
      <c r="A475" s="208">
        <f>B475&amp;"-"&amp;C475</f>
        <v/>
      </c>
      <c r="B475" s="344" t="inlineStr">
        <is>
          <t>XII - CORREDORES: Avalúos</t>
        </is>
      </c>
      <c r="C475" s="345" t="n">
        <v>20</v>
      </c>
      <c r="D475" s="208" t="inlineStr">
        <is>
          <t>Monto frente a umbrales LFPIORPI</t>
        </is>
      </c>
      <c r="E475" s="208" t="inlineStr">
        <is>
          <t>Valor del bien supera el umbral de aviso (8,025 UMA).</t>
        </is>
      </c>
      <c r="F475" s="208" t="inlineStr">
        <is>
          <t>Valor del bien cercano al umbral de aviso (8,025 UMA).</t>
        </is>
      </c>
      <c r="G475" s="208" t="inlineStr">
        <is>
          <t>Valor del bien muy por debajo del umbral (8,025 UMA).</t>
        </is>
      </c>
    </row>
    <row r="476" ht="18.75" customHeight="1" s="173">
      <c r="A476" s="208">
        <f>B476&amp;"-"&amp;C476</f>
        <v/>
      </c>
      <c r="B476" s="344" t="inlineStr">
        <is>
          <t>XII - CORREDORES: Avalúos</t>
        </is>
      </c>
      <c r="C476" s="345" t="n">
        <v>21</v>
      </c>
      <c r="D476" s="208" t="inlineStr">
        <is>
          <t>Frecuencia (fraccionamiento)</t>
        </is>
      </c>
      <c r="E476" s="208" t="inlineStr">
        <is>
          <t>Avalúos frecuentes o fraccionados sobre bienes relacionados.</t>
        </is>
      </c>
      <c r="F476" s="208" t="inlineStr">
        <is>
          <t>Avalúos ocasionales sin patron evidente.</t>
        </is>
      </c>
      <c r="G476" s="208" t="inlineStr">
        <is>
          <t>Avalúo único, congruente con el perfil.</t>
        </is>
      </c>
    </row>
    <row r="477" ht="18.75" customHeight="1" s="173">
      <c r="A477" s="208">
        <f>B477&amp;"-"&amp;C477</f>
        <v/>
      </c>
      <c r="B477" s="344" t="inlineStr">
        <is>
          <t>XII - CORREDORES: Avalúos</t>
        </is>
      </c>
      <c r="C477" s="345" t="n">
        <v>22</v>
      </c>
      <c r="D477" s="208" t="inlineStr">
        <is>
          <t>Canal (presencial / no presencial / terceros)</t>
        </is>
      </c>
      <c r="E477" s="208" t="inlineStr">
        <is>
          <t>Operación no presencial o a traves de terceros sin contacto directo.</t>
        </is>
      </c>
      <c r="F477" s="208" t="inlineStr">
        <is>
          <t>Contacto mixto o mediante representante identificado.</t>
        </is>
      </c>
      <c r="G477" s="208" t="inlineStr">
        <is>
          <t>Cliente atendido de forma presencial y directa.</t>
        </is>
      </c>
    </row>
    <row r="478" ht="18.75" customHeight="1" s="173">
      <c r="A478" s="208">
        <f>B478&amp;"-"&amp;C478</f>
        <v/>
      </c>
      <c r="B478" s="344" t="inlineStr">
        <is>
          <t>XII - CORREDORES: Avalúos</t>
        </is>
      </c>
      <c r="C478" s="345" t="n">
        <v>23</v>
      </c>
      <c r="D478" s="208" t="inlineStr">
        <is>
          <t>Origen de los recursos</t>
        </is>
      </c>
      <c r="E478" s="208" t="inlineStr">
        <is>
          <t>Bien valuado de origen o adquisicion no acreditable.</t>
        </is>
      </c>
      <c r="F478" s="208" t="inlineStr">
        <is>
          <t>Origen del bien con soporte parcial.</t>
        </is>
      </c>
      <c r="G478" s="208" t="inlineStr">
        <is>
          <t>Bien de origen lícito y documentado.</t>
        </is>
      </c>
    </row>
    <row r="479" ht="18.75" customHeight="1" s="173">
      <c r="A479" s="208">
        <f>B479&amp;"-"&amp;C479</f>
        <v/>
      </c>
      <c r="B479" s="344" t="inlineStr">
        <is>
          <t>XII - CORREDORES: Avalúos</t>
        </is>
      </c>
      <c r="C479" s="345" t="n">
        <v>24</v>
      </c>
      <c r="D479" s="208" t="inlineStr">
        <is>
          <t>Destino de los recursos</t>
        </is>
      </c>
      <c r="E479" s="208" t="inlineStr">
        <is>
          <t>Avalúo destinado a respaldar operaciones opacas o hacia terceros.</t>
        </is>
      </c>
      <c r="F479" s="208" t="inlineStr">
        <is>
          <t>Destino de la valuación parcialmente justificado.</t>
        </is>
      </c>
      <c r="G479" s="208" t="inlineStr">
        <is>
          <t>Avalúo con finalidad clara y documentada.</t>
        </is>
      </c>
    </row>
    <row r="480" ht="18.75" customHeight="1" s="173">
      <c r="A480" s="208">
        <f>B480&amp;"-"&amp;C480</f>
        <v/>
      </c>
      <c r="B480" s="344" t="inlineStr">
        <is>
          <t>XII - CORREDORES: Avalúos</t>
        </is>
      </c>
      <c r="C480" s="345" t="n">
        <v>25</v>
      </c>
      <c r="D480" s="208" t="inlineStr">
        <is>
          <t>Canales e instrumentos idóneos para el financiamiento al terrorismo</t>
        </is>
      </c>
      <c r="E480" s="208" t="inlineStr">
        <is>
          <t>La operación se realiza mediante solicitud a distancia sin acreditar el interés jurídico sobre el bien, es decir, medios que permiten mover valor en montos pequeños sin identificar al destinatario final.</t>
        </is>
      </c>
      <c r="F480" s="208" t="inlineStr">
        <is>
          <t>Canal mixto o con verificación parcial: hay registro de la operación pero la trazabilidad del destinatario final es incompleta.</t>
        </is>
      </c>
      <c r="G480" s="208" t="inlineStr">
        <is>
          <t>Solicitud con persona identificada y con interés jurídico acreditado sobre el bien, con trazabilidad completa del origen y del destinatario.</t>
        </is>
      </c>
    </row>
    <row r="481" ht="18.75" customHeight="1" s="173">
      <c r="A481" s="208">
        <f>B481&amp;"-"&amp;C481</f>
        <v/>
      </c>
      <c r="B481" s="344" t="inlineStr">
        <is>
          <t>XII - CORREDORES: Const. o modif. patrimonial</t>
        </is>
      </c>
      <c r="C481" s="345" t="n">
        <v>1</v>
      </c>
      <c r="D481" s="208" t="inlineStr">
        <is>
          <t>Valor del producto o servicio</t>
        </is>
      </c>
      <c r="E481" s="208" t="inlineStr">
        <is>
          <t>Constitución de sociedad patrimonial de alto valor.</t>
        </is>
      </c>
      <c r="F481" s="208" t="inlineStr">
        <is>
          <t>Modificación societaria de valor intermedio.</t>
        </is>
      </c>
      <c r="G481" s="208" t="inlineStr">
        <is>
          <t>Ajuste menor en sociedad pequeña.</t>
        </is>
      </c>
    </row>
    <row r="482" ht="18.75" customHeight="1" s="173">
      <c r="A482" s="208">
        <f>B482&amp;"-"&amp;C482</f>
        <v/>
      </c>
      <c r="B482" s="344" t="inlineStr">
        <is>
          <t>XII - CORREDORES: Const. o modif. patrimonial</t>
        </is>
      </c>
      <c r="C482" s="345" t="n">
        <v>2</v>
      </c>
      <c r="D482" s="208" t="inlineStr">
        <is>
          <t>Liquidez / convertibilidad</t>
        </is>
      </c>
      <c r="E482" s="208" t="inlineStr">
        <is>
          <t>Estructura mercantil que facilita mover o convertir aportaciones.</t>
        </is>
      </c>
      <c r="F482" s="208" t="inlineStr">
        <is>
          <t>Cambios societarios con disposición acotada.</t>
        </is>
      </c>
      <c r="G482" s="208" t="inlineStr">
        <is>
          <t>Ajuste sin efecto sobre la disponibilidad de recursos.</t>
        </is>
      </c>
    </row>
    <row r="483" ht="18.75" customHeight="1" s="173">
      <c r="A483" s="208">
        <f>B483&amp;"-"&amp;C483</f>
        <v/>
      </c>
      <c r="B483" s="344" t="inlineStr">
        <is>
          <t>XII - CORREDORES: Const. o modif. patrimonial</t>
        </is>
      </c>
      <c r="C483" s="345" t="n">
        <v>3</v>
      </c>
      <c r="D483" s="208" t="inlineStr">
        <is>
          <t>Anonimato / identificación del beneficiario</t>
        </is>
      </c>
      <c r="E483" s="208" t="inlineStr">
        <is>
          <t>Socios interpuestos que ocultan al beneficiario final.</t>
        </is>
      </c>
      <c r="F483" s="208" t="inlineStr">
        <is>
          <t>Beneficiario identificable con esfuerzo adicional.</t>
        </is>
      </c>
      <c r="G483" s="208" t="inlineStr">
        <is>
          <t>Socios y beneficiario final plenamente identificados.</t>
        </is>
      </c>
    </row>
    <row r="484" ht="18.75" customHeight="1" s="173">
      <c r="A484" s="208">
        <f>B484&amp;"-"&amp;C484</f>
        <v/>
      </c>
      <c r="B484" s="344" t="inlineStr">
        <is>
          <t>XII - CORREDORES: Const. o modif. patrimonial</t>
        </is>
      </c>
      <c r="C484" s="345" t="n">
        <v>4</v>
      </c>
      <c r="D484" s="208" t="inlineStr">
        <is>
          <t>Transferencia u ocultamiento de valor</t>
        </is>
      </c>
      <c r="E484" s="208" t="inlineStr">
        <is>
          <t>Sociedad mercantil usada para blanquear u ocultar recursos.</t>
        </is>
      </c>
      <c r="F484" s="208" t="inlineStr">
        <is>
          <t>Aportaciones con trazabilidad parcial.</t>
        </is>
      </c>
      <c r="G484" s="208" t="inlineStr">
        <is>
          <t>Aportaciones plenamente trazables.</t>
        </is>
      </c>
    </row>
    <row r="485" ht="18.75" customHeight="1" s="173">
      <c r="A485" s="208">
        <f>B485&amp;"-"&amp;C485</f>
        <v/>
      </c>
      <c r="B485" s="344" t="inlineStr">
        <is>
          <t>XII - CORREDORES: Const. o modif. patrimonial</t>
        </is>
      </c>
      <c r="C485" s="345" t="n">
        <v>5</v>
      </c>
      <c r="D485" s="208" t="inlineStr">
        <is>
          <t>Exposición del acto u operación al financiamiento al terrorismo</t>
        </is>
      </c>
      <c r="E485" s="208" t="inlineStr">
        <is>
          <t>Constitución o capitalización de sociedades cuyos socios o aportantes están señalados en listas de sanciones, o que sirven de fachada a estructuras de financiamiento.</t>
        </is>
      </c>
      <c r="F485" s="208" t="inlineStr">
        <is>
          <t>Sociedades con socios del extranjero o con capital que no guarda relación con el objeto, sin coincidencias en listas.</t>
        </is>
      </c>
      <c r="G485" s="208" t="inlineStr">
        <is>
          <t>Sociedad con socios identificados, objeto congruente y aportaciones bancarizadas.</t>
        </is>
      </c>
    </row>
    <row r="486" ht="18.75" customHeight="1" s="173">
      <c r="A486" s="208">
        <f>B486&amp;"-"&amp;C486</f>
        <v/>
      </c>
      <c r="B486" s="344" t="inlineStr">
        <is>
          <t>XII - CORREDORES: Const. o modif. patrimonial</t>
        </is>
      </c>
      <c r="C486" s="345" t="n">
        <v>6</v>
      </c>
      <c r="D486" s="208" t="inlineStr">
        <is>
          <t>Tipo de persona y estructura</t>
        </is>
      </c>
      <c r="E486" s="208" t="inlineStr">
        <is>
          <t>Sociedad con socios extranjeros o estructura opaca.</t>
        </is>
      </c>
      <c r="F486" s="208" t="inlineStr">
        <is>
          <t>Sociedad nacional con estructura estándar.</t>
        </is>
      </c>
      <c r="G486" s="208" t="inlineStr">
        <is>
          <t>Sociedad pequeña con socios identificados.</t>
        </is>
      </c>
    </row>
    <row r="487" ht="18.75" customHeight="1" s="173">
      <c r="A487" s="208">
        <f>B487&amp;"-"&amp;C487</f>
        <v/>
      </c>
      <c r="B487" s="344" t="inlineStr">
        <is>
          <t>XII - CORREDORES: Const. o modif. patrimonial</t>
        </is>
      </c>
      <c r="C487" s="345" t="n">
        <v>7</v>
      </c>
      <c r="D487" s="208" t="inlineStr">
        <is>
          <t>Edad / fecha de constitución</t>
        </is>
      </c>
      <c r="E487" s="208" t="inlineStr">
        <is>
          <t>Sociedad de reciente creacion con capital elevado.</t>
        </is>
      </c>
      <c r="F487" s="208" t="inlineStr">
        <is>
          <t>Sociedad con antigüedad intermedia.</t>
        </is>
      </c>
      <c r="G487" s="208" t="inlineStr">
        <is>
          <t>Sociedad consolidada con historial verificable.</t>
        </is>
      </c>
    </row>
    <row r="488" ht="18.75" customHeight="1" s="173">
      <c r="A488" s="208">
        <f>B488&amp;"-"&amp;C488</f>
        <v/>
      </c>
      <c r="B488" s="344" t="inlineStr">
        <is>
          <t>XII - CORREDORES: Const. o modif. patrimonial</t>
        </is>
      </c>
      <c r="C488" s="345" t="n">
        <v>8</v>
      </c>
      <c r="D488" s="208" t="inlineStr">
        <is>
          <t>Actividad económica o giro (y fuente de ingresos)</t>
        </is>
      </c>
      <c r="E488" s="208" t="inlineStr">
        <is>
          <t>Giro informal, intensivo en efectivo o vinculado a otras AV.</t>
        </is>
      </c>
      <c r="F488" s="208" t="inlineStr">
        <is>
          <t>Giro formal de riesgo medio.</t>
        </is>
      </c>
      <c r="G488" s="208" t="inlineStr">
        <is>
          <t>Giro formal de bajo riesgo con ingresos claros.</t>
        </is>
      </c>
    </row>
    <row r="489" ht="18.75" customHeight="1" s="173">
      <c r="A489" s="208">
        <f>B489&amp;"-"&amp;C489</f>
        <v/>
      </c>
      <c r="B489" s="344" t="inlineStr">
        <is>
          <t>XII - CORREDORES: Const. o modif. patrimonial</t>
        </is>
      </c>
      <c r="C489" s="345" t="n">
        <v>9</v>
      </c>
      <c r="D489" s="208" t="inlineStr">
        <is>
          <t>Nacionalidad del cliente</t>
        </is>
      </c>
      <c r="E489" s="208" t="inlineStr">
        <is>
          <t>Cliente de país en listas GAFI, sancionado o de régimen fiscal preferente.</t>
        </is>
      </c>
      <c r="F489" s="208" t="inlineStr">
        <is>
          <t>Nacionalidad extranjera de país sin alertas relevantes.</t>
        </is>
      </c>
      <c r="G489" s="208" t="inlineStr">
        <is>
          <t>Cliente mexicano o de país cooperante sin observaciones.</t>
        </is>
      </c>
    </row>
    <row r="490" ht="18.75" customHeight="1" s="173">
      <c r="A490" s="208">
        <f>B490&amp;"-"&amp;C490</f>
        <v/>
      </c>
      <c r="B490" s="344" t="inlineStr">
        <is>
          <t>XII - CORREDORES: Const. o modif. patrimonial</t>
        </is>
      </c>
      <c r="C490" s="345" t="n">
        <v>10</v>
      </c>
      <c r="D490" s="208" t="inlineStr">
        <is>
          <t>País (y en su caso, estado) de residencia del cliente</t>
        </is>
      </c>
      <c r="E490" s="208" t="inlineStr">
        <is>
          <t>Reside en jurisdicción de alto riesgo o con domicilio no verificable.</t>
        </is>
      </c>
      <c r="F490" s="208" t="inlineStr">
        <is>
          <t>Reside en el extranjero en país cooperante, con domicilio comprobable.</t>
        </is>
      </c>
      <c r="G490" s="208" t="inlineStr">
        <is>
          <t>Residencia nacional verificada y estable.</t>
        </is>
      </c>
    </row>
    <row r="491" ht="18.75" customHeight="1" s="173">
      <c r="A491" s="208">
        <f>B491&amp;"-"&amp;C491</f>
        <v/>
      </c>
      <c r="B491" s="344" t="inlineStr">
        <is>
          <t>XII - CORREDORES: Const. o modif. patrimonial</t>
        </is>
      </c>
      <c r="C491" s="345" t="n">
        <v>11</v>
      </c>
      <c r="D491" s="208" t="inlineStr">
        <is>
          <t>Condición PEP</t>
        </is>
      </c>
      <c r="E491" s="208" t="inlineStr">
        <is>
          <t>PEP nacional o extranjera, o allegado que actua por su cuenta.</t>
        </is>
      </c>
      <c r="F491" s="208" t="inlineStr">
        <is>
          <t>Vinculo indirecto con PEP o PEP de perfil menor, monitoreado.</t>
        </is>
      </c>
      <c r="G491" s="208" t="inlineStr">
        <is>
          <t>Sin condición PEP ni vínculos con funcionarios.</t>
        </is>
      </c>
    </row>
    <row r="492" ht="18.75" customHeight="1" s="173">
      <c r="A492" s="208">
        <f>B492&amp;"-"&amp;C492</f>
        <v/>
      </c>
      <c r="B492" s="344" t="inlineStr">
        <is>
          <t>XII - CORREDORES: Const. o modif. patrimonial</t>
        </is>
      </c>
      <c r="C492" s="345" t="n">
        <v>12</v>
      </c>
      <c r="D492" s="208" t="inlineStr">
        <is>
          <t>Coincidencia en listas de personas bloqueadas o de sanciones</t>
        </is>
      </c>
      <c r="E492" s="208" t="inlineStr">
        <is>
          <t>El socio o accionista, su beneficiario controlador, apoderado o contraparte aparece en la Lista de Personas Bloqueadas, en listas de sanciones o en listas de organizaciones terroristas, o presenta una coincidencia fuerte que no ha sido descartada.</t>
        </is>
      </c>
      <c r="F492" s="208" t="inlineStr">
        <is>
          <t>Se detecta coincidencia parcial u homonimia respecto del socio o accionista o de alguna persona relacionada, y el descarte se encuentra en proceso con constancia documental.</t>
        </is>
      </c>
      <c r="G492" s="208" t="inlineStr">
        <is>
          <t>Búsqueda realizada y documentada sobre el socio o accionista y sus personas relacionadas, sin coincidencias.</t>
        </is>
      </c>
    </row>
    <row r="493" ht="18.75" customHeight="1" s="173">
      <c r="A493" s="208">
        <f>B493&amp;"-"&amp;C493</f>
        <v/>
      </c>
      <c r="B493" s="344" t="inlineStr">
        <is>
          <t>XII - CORREDORES: Const. o modif. patrimonial</t>
        </is>
      </c>
      <c r="C493" s="345" t="n">
        <v>13</v>
      </c>
      <c r="D493" s="208" t="inlineStr">
        <is>
          <t>Identificación y complejidad del Beneficiario Controlador</t>
        </is>
      </c>
      <c r="E493" s="208" t="inlineStr">
        <is>
          <t>No se logra identificar al beneficiario controlador del socio o accionista, o la estructura interpone dos o más niveles societarios, fiduciarios o vehículos constituidos en el extranjero para llegar al 25 por ciento.</t>
        </is>
      </c>
      <c r="F493" s="208" t="inlineStr">
        <is>
          <t>Beneficiario controlador identificado, pero a través de una estructura de más de un nivel o con participación indirecta que exigió reconstruir la cadena de control con documentos.</t>
        </is>
      </c>
      <c r="G493" s="208" t="inlineStr">
        <is>
          <t>Beneficiario controlador identificado de forma directa y documentada: persona física que posee al menos el 25 por ciento o que ejerce el control por otra vía acreditada.</t>
        </is>
      </c>
    </row>
    <row r="494" ht="18.75" customHeight="1" s="173">
      <c r="A494" s="208">
        <f>B494&amp;"-"&amp;C494</f>
        <v/>
      </c>
      <c r="B494" s="344" t="inlineStr">
        <is>
          <t>XII - CORREDORES: Const. o modif. patrimonial</t>
        </is>
      </c>
      <c r="C494" s="345" t="n">
        <v>14</v>
      </c>
      <c r="D494" s="208" t="inlineStr">
        <is>
          <t>País / jurisdicción donde se realiza la operación</t>
        </is>
      </c>
      <c r="E494" s="208" t="inlineStr">
        <is>
          <t>Operación con o desde jurisdicción de alto riesgo o no cooperante.</t>
        </is>
      </c>
      <c r="F494" s="208" t="inlineStr">
        <is>
          <t>Operación con componente internacional en país cooperante.</t>
        </is>
      </c>
      <c r="G494" s="208" t="inlineStr">
        <is>
          <t>Operación integramente nacional.</t>
        </is>
      </c>
    </row>
    <row r="495" ht="18.75" customHeight="1" s="173">
      <c r="A495" s="208">
        <f>B495&amp;"-"&amp;C495</f>
        <v/>
      </c>
      <c r="B495" s="344" t="inlineStr">
        <is>
          <t>XII - CORREDORES: Const. o modif. patrimonial</t>
        </is>
      </c>
      <c r="C495" s="345" t="n">
        <v>15</v>
      </c>
      <c r="D495" s="208" t="inlineStr">
        <is>
          <t>Área geográfica nacional de la operación</t>
        </is>
      </c>
      <c r="E495" s="208" t="inlineStr">
        <is>
          <t>Zona de alta incidencia delictiva, marginacion o frontera.</t>
        </is>
      </c>
      <c r="F495" s="208" t="inlineStr">
        <is>
          <t>Zona urbana ordinaria sin alertas particulares.</t>
        </is>
      </c>
      <c r="G495" s="208" t="inlineStr">
        <is>
          <t>Zona de bajo riesgo con actividad económica formal.</t>
        </is>
      </c>
    </row>
    <row r="496" ht="18.75" customHeight="1" s="173">
      <c r="A496" s="208">
        <f>B496&amp;"-"&amp;C496</f>
        <v/>
      </c>
      <c r="B496" s="344" t="inlineStr">
        <is>
          <t>XII - CORREDORES: Const. o modif. patrimonial</t>
        </is>
      </c>
      <c r="C496" s="345" t="n">
        <v>16</v>
      </c>
      <c r="D496" s="208" t="inlineStr">
        <is>
          <t>Vínculo con jurisdicciones sancionadas, en conflicto o de acción requerida por el GAFI</t>
        </is>
      </c>
      <c r="E496" s="208" t="inlineStr">
        <is>
          <t>Existe exposición a jurisdicciones sancionadas, en conflicto armado o de acción requerida del GAFI, por la vía de socios o aportaciones provenientes del extranjero.</t>
        </is>
      </c>
      <c r="F496" s="208" t="inlineStr">
        <is>
          <t>Vínculo con jurisdicciones bajo monitoreo intensificado del GAFI o con deficiencias señaladas en la ENR, sin estar sancionadas ni en conflicto.</t>
        </is>
      </c>
      <c r="G496" s="208" t="inlineStr">
        <is>
          <t>Sin vínculo con jurisdicciones sancionadas, en conflicto o listadas por el GAFI; la operación y sus partes se ubican en plazas sin señalamientos.</t>
        </is>
      </c>
    </row>
    <row r="497" ht="18.75" customHeight="1" s="173">
      <c r="A497" s="208">
        <f>B497&amp;"-"&amp;C497</f>
        <v/>
      </c>
      <c r="B497" s="344" t="inlineStr">
        <is>
          <t>XII - CORREDORES: Const. o modif. patrimonial</t>
        </is>
      </c>
      <c r="C497" s="345" t="n">
        <v>17</v>
      </c>
      <c r="D497" s="208" t="inlineStr">
        <is>
          <t>Congruencia entre el domicilio del Cliente y el lugar de la operación</t>
        </is>
      </c>
      <c r="E497" s="208" t="inlineStr">
        <is>
          <t>El domicilio del socio o accionista no guarda relación económica ni logística con el lugar donde se realiza la constitución o modificación patrimonial de la sociedad, y no existe explicación documentada del desplazamiento.</t>
        </is>
      </c>
      <c r="F497" s="208" t="inlineStr">
        <is>
          <t>Existe distancia relevante entre el domicilio del socio o accionista y el lugar de la operación, con explicación plausible pero no soportada en el expediente.</t>
        </is>
      </c>
      <c r="G497" s="208" t="inlineStr">
        <is>
          <t>El domicilio del socio o accionista corresponde a la plaza donde se realiza la constitución o modificación patrimonial de la sociedad, o el desplazamiento está justificado y documentado.</t>
        </is>
      </c>
    </row>
    <row r="498" ht="18.75" customHeight="1" s="173">
      <c r="A498" s="208">
        <f>B498&amp;"-"&amp;C498</f>
        <v/>
      </c>
      <c r="B498" s="344" t="inlineStr">
        <is>
          <t>XII - CORREDORES: Const. o modif. patrimonial</t>
        </is>
      </c>
      <c r="C498" s="345" t="n">
        <v>18</v>
      </c>
      <c r="D498" s="208" t="inlineStr">
        <is>
          <t>Instrumento monetario</t>
        </is>
      </c>
      <c r="E498" s="208" t="inlineStr">
        <is>
          <t>Pago o aportacion en efectivo, instrumentos al portador o criptoactivos.</t>
        </is>
      </c>
      <c r="F498" s="208" t="inlineStr">
        <is>
          <t>Pago mediante cheque o transferencia con trazabilidad parcial.</t>
        </is>
      </c>
      <c r="G498" s="208" t="inlineStr">
        <is>
          <t>Pago mediante transferencia bancaria nominativa trazable.</t>
        </is>
      </c>
    </row>
    <row r="499" ht="18.75" customHeight="1" s="173">
      <c r="A499" s="208">
        <f>B499&amp;"-"&amp;C499</f>
        <v/>
      </c>
      <c r="B499" s="344" t="inlineStr">
        <is>
          <t>XII - CORREDORES: Const. o modif. patrimonial</t>
        </is>
      </c>
      <c r="C499" s="345" t="n">
        <v>19</v>
      </c>
      <c r="D499" s="208" t="inlineStr">
        <is>
          <t>Tipo de moneda</t>
        </is>
      </c>
      <c r="E499" s="208" t="inlineStr">
        <is>
          <t>Moneda extranjera distinta al USD o criptomonedas.</t>
        </is>
      </c>
      <c r="F499" s="208" t="inlineStr">
        <is>
          <t>Operación en dolares estadounidenses (USD).</t>
        </is>
      </c>
      <c r="G499" s="208" t="inlineStr">
        <is>
          <t>Operación en pesos mexicanos.</t>
        </is>
      </c>
    </row>
    <row r="500" ht="18.75" customHeight="1" s="173">
      <c r="A500" s="208">
        <f>B500&amp;"-"&amp;C500</f>
        <v/>
      </c>
      <c r="B500" s="344" t="inlineStr">
        <is>
          <t>XII - CORREDORES: Const. o modif. patrimonial</t>
        </is>
      </c>
      <c r="C500" s="345" t="n">
        <v>20</v>
      </c>
      <c r="D500" s="208" t="inlineStr">
        <is>
          <t>Monto frente a umbrales LFPIORPI</t>
        </is>
      </c>
      <c r="E500" s="208" t="inlineStr">
        <is>
          <t>Aviso obligatorio siempre; aportaciones de alto valor.</t>
        </is>
      </c>
      <c r="F500" s="208" t="inlineStr">
        <is>
          <t>Aviso obligatorio siempre; aportaciones de valor intermedio.</t>
        </is>
      </c>
      <c r="G500" s="208" t="inlineStr">
        <is>
          <t>Aviso obligatorio siempre; aportaciones de valor reducido.</t>
        </is>
      </c>
    </row>
    <row r="501" ht="18.75" customHeight="1" s="173">
      <c r="A501" s="208">
        <f>B501&amp;"-"&amp;C501</f>
        <v/>
      </c>
      <c r="B501" s="344" t="inlineStr">
        <is>
          <t>XII - CORREDORES: Const. o modif. patrimonial</t>
        </is>
      </c>
      <c r="C501" s="345" t="n">
        <v>21</v>
      </c>
      <c r="D501" s="208" t="inlineStr">
        <is>
          <t>Frecuencia (fraccionamiento)</t>
        </is>
      </c>
      <c r="E501" s="208" t="inlineStr">
        <is>
          <t>Constituciones o reformas frecuentes o fraccionadas para eludir controles.</t>
        </is>
      </c>
      <c r="F501" s="208" t="inlineStr">
        <is>
          <t>Modificaciones societarias ocasionales.</t>
        </is>
      </c>
      <c r="G501" s="208" t="inlineStr">
        <is>
          <t>Acto societario único, congruente con el perfil.</t>
        </is>
      </c>
    </row>
    <row r="502" ht="18.75" customHeight="1" s="173">
      <c r="A502" s="208">
        <f>B502&amp;"-"&amp;C502</f>
        <v/>
      </c>
      <c r="B502" s="344" t="inlineStr">
        <is>
          <t>XII - CORREDORES: Const. o modif. patrimonial</t>
        </is>
      </c>
      <c r="C502" s="345" t="n">
        <v>22</v>
      </c>
      <c r="D502" s="208" t="inlineStr">
        <is>
          <t>Canal (presencial / no presencial / terceros)</t>
        </is>
      </c>
      <c r="E502" s="208" t="inlineStr">
        <is>
          <t>Operación no presencial o a traves de terceros sin contacto directo.</t>
        </is>
      </c>
      <c r="F502" s="208" t="inlineStr">
        <is>
          <t>Contacto mixto o mediante representante identificado.</t>
        </is>
      </c>
      <c r="G502" s="208" t="inlineStr">
        <is>
          <t>Cliente atendido de forma presencial y directa.</t>
        </is>
      </c>
    </row>
    <row r="503" ht="18.75" customHeight="1" s="173">
      <c r="A503" s="208">
        <f>B503&amp;"-"&amp;C503</f>
        <v/>
      </c>
      <c r="B503" s="344" t="inlineStr">
        <is>
          <t>XII - CORREDORES: Const. o modif. patrimonial</t>
        </is>
      </c>
      <c r="C503" s="345" t="n">
        <v>23</v>
      </c>
      <c r="D503" s="208" t="inlineStr">
        <is>
          <t>Origen de los recursos</t>
        </is>
      </c>
      <c r="E503" s="208" t="inlineStr">
        <is>
          <t>Aportaciones de origen no acreditable, en efectivo o informal.</t>
        </is>
      </c>
      <c r="F503" s="208" t="inlineStr">
        <is>
          <t>Origen de las aportaciones con soporte parcial.</t>
        </is>
      </c>
      <c r="G503" s="208" t="inlineStr">
        <is>
          <t>Aportaciones de origen lícito documentado.</t>
        </is>
      </c>
    </row>
    <row r="504" ht="18.75" customHeight="1" s="173">
      <c r="A504" s="208">
        <f>B504&amp;"-"&amp;C504</f>
        <v/>
      </c>
      <c r="B504" s="344" t="inlineStr">
        <is>
          <t>XII - CORREDORES: Const. o modif. patrimonial</t>
        </is>
      </c>
      <c r="C504" s="345" t="n">
        <v>24</v>
      </c>
      <c r="D504" s="208" t="inlineStr">
        <is>
          <t>Destino de los recursos</t>
        </is>
      </c>
      <c r="E504" s="208" t="inlineStr">
        <is>
          <t>Recursos societarios con destino opaco o a terceros sin justificación.</t>
        </is>
      </c>
      <c r="F504" s="208" t="inlineStr">
        <is>
          <t>Destino de los recursos parcialmente justificado.</t>
        </is>
      </c>
      <c r="G504" s="208" t="inlineStr">
        <is>
          <t>Destino de los recursos claro y documentado.</t>
        </is>
      </c>
    </row>
    <row r="505" ht="18.75" customHeight="1" s="173">
      <c r="A505" s="208">
        <f>B505&amp;"-"&amp;C505</f>
        <v/>
      </c>
      <c r="B505" s="344" t="inlineStr">
        <is>
          <t>XII - CORREDORES: Const. o modif. patrimonial</t>
        </is>
      </c>
      <c r="C505" s="345" t="n">
        <v>25</v>
      </c>
      <c r="D505" s="208" t="inlineStr">
        <is>
          <t>Canales e instrumentos idóneos para el financiamiento al terrorismo</t>
        </is>
      </c>
      <c r="E505" s="208" t="inlineStr">
        <is>
          <t>La operación se realiza mediante constitución a distancia con socios que no comparecen y aportaciones en efectivo, es decir, medios que permiten mover valor en montos pequeños sin identificar al destinatario final.</t>
        </is>
      </c>
      <c r="F505" s="208" t="inlineStr">
        <is>
          <t>Canal mixto o con verificación parcial: hay registro de la operación pero la trazabilidad del destinatario final es incompleta.</t>
        </is>
      </c>
      <c r="G505" s="208" t="inlineStr">
        <is>
          <t>Constitución con socios identificados y comparecientes y aportaciones bancarizadas, con trazabilidad completa del origen y del destinatario.</t>
        </is>
      </c>
    </row>
    <row r="506" ht="18.75" customHeight="1" s="173">
      <c r="A506" s="208">
        <f>B506&amp;"-"&amp;C506</f>
        <v/>
      </c>
      <c r="B506" s="344" t="inlineStr">
        <is>
          <t>XII - CORREDORES: Modif. o cesión fideicomiso</t>
        </is>
      </c>
      <c r="C506" s="345" t="n">
        <v>1</v>
      </c>
      <c r="D506" s="208" t="inlineStr">
        <is>
          <t>Valor del producto o servicio</t>
        </is>
      </c>
      <c r="E506" s="208" t="inlineStr">
        <is>
          <t>Cesión de derechos fiduciarios de alto valor.</t>
        </is>
      </c>
      <c r="F506" s="208" t="inlineStr">
        <is>
          <t>Cesión parcial de derechos de valor intermedio.</t>
        </is>
      </c>
      <c r="G506" s="208" t="inlineStr">
        <is>
          <t>Cesión de bajo valor o entre familiares.</t>
        </is>
      </c>
    </row>
    <row r="507" ht="18.75" customHeight="1" s="173">
      <c r="A507" s="208">
        <f>B507&amp;"-"&amp;C507</f>
        <v/>
      </c>
      <c r="B507" s="344" t="inlineStr">
        <is>
          <t>XII - CORREDORES: Modif. o cesión fideicomiso</t>
        </is>
      </c>
      <c r="C507" s="345" t="n">
        <v>2</v>
      </c>
      <c r="D507" s="208" t="inlineStr">
        <is>
          <t>Liquidez / convertibilidad</t>
        </is>
      </c>
      <c r="E507" s="208" t="inlineStr">
        <is>
          <t>Cesión que permite transferir y disponer del valor con rapidez.</t>
        </is>
      </c>
      <c r="F507" s="208" t="inlineStr">
        <is>
          <t>Cesión de derechos con disposición condicionada.</t>
        </is>
      </c>
      <c r="G507" s="208" t="inlineStr">
        <is>
          <t>Cesión de derechos de baja convertibilidad.</t>
        </is>
      </c>
    </row>
    <row r="508" ht="18.75" customHeight="1" s="173">
      <c r="A508" s="208">
        <f>B508&amp;"-"&amp;C508</f>
        <v/>
      </c>
      <c r="B508" s="344" t="inlineStr">
        <is>
          <t>XII - CORREDORES: Modif. o cesión fideicomiso</t>
        </is>
      </c>
      <c r="C508" s="345" t="n">
        <v>3</v>
      </c>
      <c r="D508" s="208" t="inlineStr">
        <is>
          <t>Anonimato / identificación del beneficiario</t>
        </is>
      </c>
      <c r="E508" s="208" t="inlineStr">
        <is>
          <t>Cesión que oculta al cedente o cesionario real de los derechos.</t>
        </is>
      </c>
      <c r="F508" s="208" t="inlineStr">
        <is>
          <t>Partes identificables con vínculo poco claro.</t>
        </is>
      </c>
      <c r="G508" s="208" t="inlineStr">
        <is>
          <t>Cedente y cesionario plenamente identificados.</t>
        </is>
      </c>
    </row>
    <row r="509" ht="18.75" customHeight="1" s="173">
      <c r="A509" s="208">
        <f>B509&amp;"-"&amp;C509</f>
        <v/>
      </c>
      <c r="B509" s="344" t="inlineStr">
        <is>
          <t>XII - CORREDORES: Modif. o cesión fideicomiso</t>
        </is>
      </c>
      <c r="C509" s="345" t="n">
        <v>4</v>
      </c>
      <c r="D509" s="208" t="inlineStr">
        <is>
          <t>Transferencia u ocultamiento de valor</t>
        </is>
      </c>
      <c r="E509" s="208" t="inlineStr">
        <is>
          <t>Cesión usada para ocultar la transferencia ilicita de activos.</t>
        </is>
      </c>
      <c r="F509" s="208" t="inlineStr">
        <is>
          <t>Transferencia de derechos con trazabilidad parcial.</t>
        </is>
      </c>
      <c r="G509" s="208" t="inlineStr">
        <is>
          <t>Cesión plenamente trazable y documentada.</t>
        </is>
      </c>
    </row>
    <row r="510" ht="18.75" customHeight="1" s="173">
      <c r="A510" s="208">
        <f>B510&amp;"-"&amp;C510</f>
        <v/>
      </c>
      <c r="B510" s="344" t="inlineStr">
        <is>
          <t>XII - CORREDORES: Modif. o cesión fideicomiso</t>
        </is>
      </c>
      <c r="C510" s="345" t="n">
        <v>5</v>
      </c>
      <c r="D510" s="208" t="inlineStr">
        <is>
          <t>Exposición del acto u operación al financiamiento al terrorismo</t>
        </is>
      </c>
      <c r="E510" s="208" t="inlineStr">
        <is>
          <t>Cesiones de derechos fideicomisarios a favor de personas u organizaciones señaladas en listas de sanciones.</t>
        </is>
      </c>
      <c r="F510" s="208" t="inlineStr">
        <is>
          <t>Cesiones a favor de vehículos del extranjero con beneficiario poco claro, sin coincidencias en listas.</t>
        </is>
      </c>
      <c r="G510" s="208" t="inlineStr">
        <is>
          <t>Cesión entre partes identificadas, con causa y contraprestación documentadas.</t>
        </is>
      </c>
    </row>
    <row r="511" ht="18.75" customHeight="1" s="173">
      <c r="A511" s="208">
        <f>B511&amp;"-"&amp;C511</f>
        <v/>
      </c>
      <c r="B511" s="344" t="inlineStr">
        <is>
          <t>XII - CORREDORES: Modif. o cesión fideicomiso</t>
        </is>
      </c>
      <c r="C511" s="345" t="n">
        <v>6</v>
      </c>
      <c r="D511" s="208" t="inlineStr">
        <is>
          <t>Tipo de persona y estructura</t>
        </is>
      </c>
      <c r="E511" s="208" t="inlineStr">
        <is>
          <t>Cedente o cesionario persona moral extranjera o estructura opaca.</t>
        </is>
      </c>
      <c r="F511" s="208" t="inlineStr">
        <is>
          <t>Parte persona moral nacional estándar.</t>
        </is>
      </c>
      <c r="G511" s="208" t="inlineStr">
        <is>
          <t>Partes persona física identificadas.</t>
        </is>
      </c>
    </row>
    <row r="512" ht="18.75" customHeight="1" s="173">
      <c r="A512" s="208">
        <f>B512&amp;"-"&amp;C512</f>
        <v/>
      </c>
      <c r="B512" s="344" t="inlineStr">
        <is>
          <t>XII - CORREDORES: Modif. o cesión fideicomiso</t>
        </is>
      </c>
      <c r="C512" s="345" t="n">
        <v>7</v>
      </c>
      <c r="D512" s="208" t="inlineStr">
        <is>
          <t>Edad / fecha de constitución</t>
        </is>
      </c>
      <c r="E512" s="208" t="inlineStr">
        <is>
          <t>Derechos cedidos poco después de constituidos, o parte recién creada.</t>
        </is>
      </c>
      <c r="F512" s="208" t="inlineStr">
        <is>
          <t>Antiguedad intermedia de los derechos o de las partes.</t>
        </is>
      </c>
      <c r="G512" s="208" t="inlineStr">
        <is>
          <t>Derechos y partes con historial consolidado y verificable.</t>
        </is>
      </c>
    </row>
    <row r="513" ht="18.75" customHeight="1" s="173">
      <c r="A513" s="208">
        <f>B513&amp;"-"&amp;C513</f>
        <v/>
      </c>
      <c r="B513" s="344" t="inlineStr">
        <is>
          <t>XII - CORREDORES: Modif. o cesión fideicomiso</t>
        </is>
      </c>
      <c r="C513" s="345" t="n">
        <v>8</v>
      </c>
      <c r="D513" s="208" t="inlineStr">
        <is>
          <t>Actividad económica o giro (y fuente de ingresos)</t>
        </is>
      </c>
      <c r="E513" s="208" t="inlineStr">
        <is>
          <t>Parte con giro informal, en efectivo o ligado a otras AV.</t>
        </is>
      </c>
      <c r="F513" s="208" t="inlineStr">
        <is>
          <t>Giro formal de riesgo medio.</t>
        </is>
      </c>
      <c r="G513" s="208" t="inlineStr">
        <is>
          <t>Giro formal de bajo riesgo con ingresos claros.</t>
        </is>
      </c>
    </row>
    <row r="514" ht="18.75" customHeight="1" s="173">
      <c r="A514" s="208">
        <f>B514&amp;"-"&amp;C514</f>
        <v/>
      </c>
      <c r="B514" s="344" t="inlineStr">
        <is>
          <t>XII - CORREDORES: Modif. o cesión fideicomiso</t>
        </is>
      </c>
      <c r="C514" s="345" t="n">
        <v>9</v>
      </c>
      <c r="D514" s="208" t="inlineStr">
        <is>
          <t>Nacionalidad del cliente</t>
        </is>
      </c>
      <c r="E514" s="208" t="inlineStr">
        <is>
          <t>Cliente de país en listas GAFI, sancionado o de régimen fiscal preferente.</t>
        </is>
      </c>
      <c r="F514" s="208" t="inlineStr">
        <is>
          <t>Nacionalidad extranjera de país sin alertas relevantes.</t>
        </is>
      </c>
      <c r="G514" s="208" t="inlineStr">
        <is>
          <t>Cliente mexicano o de país cooperante sin observaciones.</t>
        </is>
      </c>
    </row>
    <row r="515" ht="18.75" customHeight="1" s="173">
      <c r="A515" s="208">
        <f>B515&amp;"-"&amp;C515</f>
        <v/>
      </c>
      <c r="B515" s="344" t="inlineStr">
        <is>
          <t>XII - CORREDORES: Modif. o cesión fideicomiso</t>
        </is>
      </c>
      <c r="C515" s="345" t="n">
        <v>10</v>
      </c>
      <c r="D515" s="208" t="inlineStr">
        <is>
          <t>País (y en su caso, estado) de residencia del cliente</t>
        </is>
      </c>
      <c r="E515" s="208" t="inlineStr">
        <is>
          <t>Reside en jurisdicción de alto riesgo o con domicilio no verificable.</t>
        </is>
      </c>
      <c r="F515" s="208" t="inlineStr">
        <is>
          <t>Reside en el extranjero en país cooperante, con domicilio comprobable.</t>
        </is>
      </c>
      <c r="G515" s="208" t="inlineStr">
        <is>
          <t>Residencia nacional verificada y estable.</t>
        </is>
      </c>
    </row>
    <row r="516" ht="18.75" customHeight="1" s="173">
      <c r="A516" s="208">
        <f>B516&amp;"-"&amp;C516</f>
        <v/>
      </c>
      <c r="B516" s="344" t="inlineStr">
        <is>
          <t>XII - CORREDORES: Modif. o cesión fideicomiso</t>
        </is>
      </c>
      <c r="C516" s="345" t="n">
        <v>11</v>
      </c>
      <c r="D516" s="208" t="inlineStr">
        <is>
          <t>Condición PEP</t>
        </is>
      </c>
      <c r="E516" s="208" t="inlineStr">
        <is>
          <t>PEP nacional o extranjera, o allegado que actua por su cuenta.</t>
        </is>
      </c>
      <c r="F516" s="208" t="inlineStr">
        <is>
          <t>Vinculo indirecto con PEP o PEP de perfil menor, monitoreado.</t>
        </is>
      </c>
      <c r="G516" s="208" t="inlineStr">
        <is>
          <t>Sin condición PEP ni vínculos con funcionarios.</t>
        </is>
      </c>
    </row>
    <row r="517" ht="18.75" customHeight="1" s="173">
      <c r="A517" s="208">
        <f>B517&amp;"-"&amp;C517</f>
        <v/>
      </c>
      <c r="B517" s="344" t="inlineStr">
        <is>
          <t>XII - CORREDORES: Modif. o cesión fideicomiso</t>
        </is>
      </c>
      <c r="C517" s="345" t="n">
        <v>12</v>
      </c>
      <c r="D517" s="208" t="inlineStr">
        <is>
          <t>Coincidencia en listas de personas bloqueadas o de sanciones</t>
        </is>
      </c>
      <c r="E517" s="208" t="inlineStr">
        <is>
          <t>El fideicomitente o cesionario, su beneficiario controlador, apoderado o contraparte aparece en la Lista de Personas Bloqueadas, en listas de sanciones o en listas de organizaciones terroristas, o presenta una coincidencia fuerte que no ha sido descartada.</t>
        </is>
      </c>
      <c r="F517" s="208" t="inlineStr">
        <is>
          <t>Se detecta coincidencia parcial u homonimia respecto del fideicomitente o cesionario o de alguna persona relacionada, y el descarte se encuentra en proceso con constancia documental.</t>
        </is>
      </c>
      <c r="G517" s="208" t="inlineStr">
        <is>
          <t>Búsqueda realizada y documentada sobre el fideicomitente o cesionario y sus personas relacionadas, sin coincidencias.</t>
        </is>
      </c>
    </row>
    <row r="518" ht="18.75" customHeight="1" s="173">
      <c r="A518" s="208">
        <f>B518&amp;"-"&amp;C518</f>
        <v/>
      </c>
      <c r="B518" s="344" t="inlineStr">
        <is>
          <t>XII - CORREDORES: Modif. o cesión fideicomiso</t>
        </is>
      </c>
      <c r="C518" s="345" t="n">
        <v>13</v>
      </c>
      <c r="D518" s="208" t="inlineStr">
        <is>
          <t>Identificación y complejidad del Beneficiario Controlador</t>
        </is>
      </c>
      <c r="E518" s="208" t="inlineStr">
        <is>
          <t>No se logra identificar al beneficiario controlador del fideicomitente o cesionario, o la estructura interpone dos o más niveles societarios, fiduciarios o vehículos constituidos en el extranjero para llegar al 25 por ciento.</t>
        </is>
      </c>
      <c r="F518" s="208" t="inlineStr">
        <is>
          <t>Beneficiario controlador identificado, pero a través de una estructura de más de un nivel o con participación indirecta que exigió reconstruir la cadena de control con documentos.</t>
        </is>
      </c>
      <c r="G518" s="208" t="inlineStr">
        <is>
          <t>Beneficiario controlador identificado de forma directa y documentada: persona física que posee al menos el 25 por ciento o que ejerce el control por otra vía acreditada.</t>
        </is>
      </c>
    </row>
    <row r="519" ht="18.75" customHeight="1" s="173">
      <c r="A519" s="208">
        <f>B519&amp;"-"&amp;C519</f>
        <v/>
      </c>
      <c r="B519" s="344" t="inlineStr">
        <is>
          <t>XII - CORREDORES: Modif. o cesión fideicomiso</t>
        </is>
      </c>
      <c r="C519" s="345" t="n">
        <v>14</v>
      </c>
      <c r="D519" s="208" t="inlineStr">
        <is>
          <t>País / jurisdicción donde se realiza la operación</t>
        </is>
      </c>
      <c r="E519" s="208" t="inlineStr">
        <is>
          <t>Operación con o desde jurisdicción de alto riesgo o no cooperante.</t>
        </is>
      </c>
      <c r="F519" s="208" t="inlineStr">
        <is>
          <t>Operación con componente internacional en país cooperante.</t>
        </is>
      </c>
      <c r="G519" s="208" t="inlineStr">
        <is>
          <t>Operación integramente nacional.</t>
        </is>
      </c>
    </row>
    <row r="520" ht="18.75" customHeight="1" s="173">
      <c r="A520" s="208">
        <f>B520&amp;"-"&amp;C520</f>
        <v/>
      </c>
      <c r="B520" s="344" t="inlineStr">
        <is>
          <t>XII - CORREDORES: Modif. o cesión fideicomiso</t>
        </is>
      </c>
      <c r="C520" s="345" t="n">
        <v>15</v>
      </c>
      <c r="D520" s="208" t="inlineStr">
        <is>
          <t>Área geográfica nacional de la operación</t>
        </is>
      </c>
      <c r="E520" s="208" t="inlineStr">
        <is>
          <t>Zona de alta incidencia delictiva, marginacion o frontera.</t>
        </is>
      </c>
      <c r="F520" s="208" t="inlineStr">
        <is>
          <t>Zona urbana ordinaria sin alertas particulares.</t>
        </is>
      </c>
      <c r="G520" s="208" t="inlineStr">
        <is>
          <t>Zona de bajo riesgo con actividad económica formal.</t>
        </is>
      </c>
    </row>
    <row r="521" ht="18.75" customHeight="1" s="173">
      <c r="A521" s="208">
        <f>B521&amp;"-"&amp;C521</f>
        <v/>
      </c>
      <c r="B521" s="344" t="inlineStr">
        <is>
          <t>XII - CORREDORES: Modif. o cesión fideicomiso</t>
        </is>
      </c>
      <c r="C521" s="345" t="n">
        <v>16</v>
      </c>
      <c r="D521" s="208" t="inlineStr">
        <is>
          <t>Vínculo con jurisdicciones sancionadas, en conflicto o de acción requerida por el GAFI</t>
        </is>
      </c>
      <c r="E521" s="208" t="inlineStr">
        <is>
          <t>Existe exposición a jurisdicciones sancionadas, en conflicto armado o de acción requerida del GAFI, por la vía de cesionarios o fiduciarias del extranjero.</t>
        </is>
      </c>
      <c r="F521" s="208" t="inlineStr">
        <is>
          <t>Vínculo con jurisdicciones bajo monitoreo intensificado del GAFI o con deficiencias señaladas en la ENR, sin estar sancionadas ni en conflicto.</t>
        </is>
      </c>
      <c r="G521" s="208" t="inlineStr">
        <is>
          <t>Sin vínculo con jurisdicciones sancionadas, en conflicto o listadas por el GAFI; la operación y sus partes se ubican en plazas sin señalamientos.</t>
        </is>
      </c>
    </row>
    <row r="522" ht="18.75" customHeight="1" s="173">
      <c r="A522" s="208">
        <f>B522&amp;"-"&amp;C522</f>
        <v/>
      </c>
      <c r="B522" s="344" t="inlineStr">
        <is>
          <t>XII - CORREDORES: Modif. o cesión fideicomiso</t>
        </is>
      </c>
      <c r="C522" s="345" t="n">
        <v>17</v>
      </c>
      <c r="D522" s="208" t="inlineStr">
        <is>
          <t>Congruencia entre el domicilio del Cliente y el lugar de la operación</t>
        </is>
      </c>
      <c r="E522" s="208" t="inlineStr">
        <is>
          <t>El domicilio del fideicomitente o cesionario no guarda relación económica ni logística con el lugar donde se realiza la modificación o cesión de derechos del fideicomiso, y no existe explicación documentada del desplazamiento.</t>
        </is>
      </c>
      <c r="F522" s="208" t="inlineStr">
        <is>
          <t>Existe distancia relevante entre el domicilio del fideicomitente o cesionario y el lugar de la operación, con explicación plausible pero no soportada en el expediente.</t>
        </is>
      </c>
      <c r="G522" s="208" t="inlineStr">
        <is>
          <t>El domicilio del fideicomitente o cesionario corresponde a la plaza donde se realiza la modificación o cesión de derechos del fideicomiso, o el desplazamiento está justificado y documentado.</t>
        </is>
      </c>
    </row>
    <row r="523" ht="18.75" customHeight="1" s="173">
      <c r="A523" s="208">
        <f>B523&amp;"-"&amp;C523</f>
        <v/>
      </c>
      <c r="B523" s="344" t="inlineStr">
        <is>
          <t>XII - CORREDORES: Modif. o cesión fideicomiso</t>
        </is>
      </c>
      <c r="C523" s="345" t="n">
        <v>18</v>
      </c>
      <c r="D523" s="208" t="inlineStr">
        <is>
          <t>Instrumento monetario</t>
        </is>
      </c>
      <c r="E523" s="208" t="inlineStr">
        <is>
          <t>Pago o aportacion en efectivo, instrumentos al portador o criptoactivos.</t>
        </is>
      </c>
      <c r="F523" s="208" t="inlineStr">
        <is>
          <t>Pago mediante cheque o transferencia con trazabilidad parcial.</t>
        </is>
      </c>
      <c r="G523" s="208" t="inlineStr">
        <is>
          <t>Pago mediante transferencia bancaria nominativa trazable.</t>
        </is>
      </c>
    </row>
    <row r="524" ht="18.75" customHeight="1" s="173">
      <c r="A524" s="208">
        <f>B524&amp;"-"&amp;C524</f>
        <v/>
      </c>
      <c r="B524" s="344" t="inlineStr">
        <is>
          <t>XII - CORREDORES: Modif. o cesión fideicomiso</t>
        </is>
      </c>
      <c r="C524" s="345" t="n">
        <v>19</v>
      </c>
      <c r="D524" s="208" t="inlineStr">
        <is>
          <t>Tipo de moneda</t>
        </is>
      </c>
      <c r="E524" s="208" t="inlineStr">
        <is>
          <t>Moneda extranjera distinta al USD o criptomonedas.</t>
        </is>
      </c>
      <c r="F524" s="208" t="inlineStr">
        <is>
          <t>Operación en dolares estadounidenses (USD).</t>
        </is>
      </c>
      <c r="G524" s="208" t="inlineStr">
        <is>
          <t>Operación en pesos mexicanos.</t>
        </is>
      </c>
    </row>
    <row r="525" ht="18.75" customHeight="1" s="173">
      <c r="A525" s="208">
        <f>B525&amp;"-"&amp;C525</f>
        <v/>
      </c>
      <c r="B525" s="344" t="inlineStr">
        <is>
          <t>XII - CORREDORES: Modif. o cesión fideicomiso</t>
        </is>
      </c>
      <c r="C525" s="345" t="n">
        <v>20</v>
      </c>
      <c r="D525" s="208" t="inlineStr">
        <is>
          <t>Monto frente a umbrales LFPIORPI</t>
        </is>
      </c>
      <c r="E525" s="208" t="inlineStr">
        <is>
          <t>Aviso obligatorio siempre; cesión de alto valor.</t>
        </is>
      </c>
      <c r="F525" s="208" t="inlineStr">
        <is>
          <t>Aviso obligatorio siempre; cesión de valor intermedio.</t>
        </is>
      </c>
      <c r="G525" s="208" t="inlineStr">
        <is>
          <t>Aviso obligatorio siempre; cesión de valor reducido.</t>
        </is>
      </c>
    </row>
    <row r="526" ht="18.75" customHeight="1" s="173">
      <c r="A526" s="208">
        <f>B526&amp;"-"&amp;C526</f>
        <v/>
      </c>
      <c r="B526" s="344" t="inlineStr">
        <is>
          <t>XII - CORREDORES: Modif. o cesión fideicomiso</t>
        </is>
      </c>
      <c r="C526" s="345" t="n">
        <v>21</v>
      </c>
      <c r="D526" s="208" t="inlineStr">
        <is>
          <t>Frecuencia (fraccionamiento)</t>
        </is>
      </c>
      <c r="E526" s="208" t="inlineStr">
        <is>
          <t>Cesiones frecuentes o fraccionadas de derechos fiduciarios.</t>
        </is>
      </c>
      <c r="F526" s="208" t="inlineStr">
        <is>
          <t>Cesiones ocasionales sin patron evidente.</t>
        </is>
      </c>
      <c r="G526" s="208" t="inlineStr">
        <is>
          <t>Cesión única, congruente con el perfil.</t>
        </is>
      </c>
    </row>
    <row r="527" ht="18.75" customHeight="1" s="173">
      <c r="A527" s="208">
        <f>B527&amp;"-"&amp;C527</f>
        <v/>
      </c>
      <c r="B527" s="344" t="inlineStr">
        <is>
          <t>XII - CORREDORES: Modif. o cesión fideicomiso</t>
        </is>
      </c>
      <c r="C527" s="345" t="n">
        <v>22</v>
      </c>
      <c r="D527" s="208" t="inlineStr">
        <is>
          <t>Canal (presencial / no presencial / terceros)</t>
        </is>
      </c>
      <c r="E527" s="208" t="inlineStr">
        <is>
          <t>Operación no presencial o a traves de terceros sin contacto directo.</t>
        </is>
      </c>
      <c r="F527" s="208" t="inlineStr">
        <is>
          <t>Contacto mixto o mediante representante identificado.</t>
        </is>
      </c>
      <c r="G527" s="208" t="inlineStr">
        <is>
          <t>Cliente atendido de forma presencial y directa.</t>
        </is>
      </c>
    </row>
    <row r="528" ht="18.75" customHeight="1" s="173">
      <c r="A528" s="208">
        <f>B528&amp;"-"&amp;C528</f>
        <v/>
      </c>
      <c r="B528" s="344" t="inlineStr">
        <is>
          <t>XII - CORREDORES: Modif. o cesión fideicomiso</t>
        </is>
      </c>
      <c r="C528" s="345" t="n">
        <v>23</v>
      </c>
      <c r="D528" s="208" t="inlineStr">
        <is>
          <t>Origen de los recursos</t>
        </is>
      </c>
      <c r="E528" s="208" t="inlineStr">
        <is>
          <t>Derechos fiduciarios de origen no acreditable o adquisicion dudosa.</t>
        </is>
      </c>
      <c r="F528" s="208" t="inlineStr">
        <is>
          <t>Origen de los derechos con soporte parcial.</t>
        </is>
      </c>
      <c r="G528" s="208" t="inlineStr">
        <is>
          <t>Derechos de origen lícito documentado.</t>
        </is>
      </c>
    </row>
    <row r="529" ht="18.75" customHeight="1" s="173">
      <c r="A529" s="208">
        <f>B529&amp;"-"&amp;C529</f>
        <v/>
      </c>
      <c r="B529" s="344" t="inlineStr">
        <is>
          <t>XII - CORREDORES: Modif. o cesión fideicomiso</t>
        </is>
      </c>
      <c r="C529" s="345" t="n">
        <v>24</v>
      </c>
      <c r="D529" s="208" t="inlineStr">
        <is>
          <t>Destino de los recursos</t>
        </is>
      </c>
      <c r="E529" s="208" t="inlineStr">
        <is>
          <t>Producto de la cesión con destino opaco, a terceros o al exterior.</t>
        </is>
      </c>
      <c r="F529" s="208" t="inlineStr">
        <is>
          <t>Destino de la contraprestacion parcialmente justificado.</t>
        </is>
      </c>
      <c r="G529" s="208" t="inlineStr">
        <is>
          <t>Destino de la contraprestacion claro y documentado.</t>
        </is>
      </c>
    </row>
    <row r="530" ht="18.75" customHeight="1" s="173">
      <c r="A530" s="208">
        <f>B530&amp;"-"&amp;C530</f>
        <v/>
      </c>
      <c r="B530" s="344" t="inlineStr">
        <is>
          <t>XII - CORREDORES: Modif. o cesión fideicomiso</t>
        </is>
      </c>
      <c r="C530" s="345" t="n">
        <v>25</v>
      </c>
      <c r="D530" s="208" t="inlineStr">
        <is>
          <t>Canales e instrumentos idóneos para el financiamiento al terrorismo</t>
        </is>
      </c>
      <c r="E530" s="208" t="inlineStr">
        <is>
          <t>La operación se realiza mediante cesión a distancia a favor de cesionarios no identificados, es decir, medios que permiten mover valor en montos pequeños sin identificar al destinatario final.</t>
        </is>
      </c>
      <c r="F530" s="208" t="inlineStr">
        <is>
          <t>Canal mixto o con verificación parcial: hay registro de la operación pero la trazabilidad del destinatario final es incompleta.</t>
        </is>
      </c>
      <c r="G530" s="208" t="inlineStr">
        <is>
          <t>Cesión con partes identificadas y contraprestación bancarizada, con trazabilidad completa del origen y del destinatario.</t>
        </is>
      </c>
    </row>
    <row r="531" ht="18.75" customHeight="1" s="173">
      <c r="A531" s="208">
        <f>B531&amp;"-"&amp;C531</f>
        <v/>
      </c>
      <c r="B531" s="344" t="inlineStr">
        <is>
          <t>XII - CORREDORES: Mutuo mercantil</t>
        </is>
      </c>
      <c r="C531" s="345" t="n">
        <v>1</v>
      </c>
      <c r="D531" s="208" t="inlineStr">
        <is>
          <t>Valor del producto o servicio</t>
        </is>
      </c>
      <c r="E531" s="208" t="inlineStr">
        <is>
          <t>Mutuo mercantil de alto valor.</t>
        </is>
      </c>
      <c r="F531" s="208" t="inlineStr">
        <is>
          <t>Mutuo mercantil de valor intermedio.</t>
        </is>
      </c>
      <c r="G531" s="208" t="inlineStr">
        <is>
          <t>Mutuo mercantil de bajo valor, documentado.</t>
        </is>
      </c>
    </row>
    <row r="532" ht="18.75" customHeight="1" s="173">
      <c r="A532" s="208">
        <f>B532&amp;"-"&amp;C532</f>
        <v/>
      </c>
      <c r="B532" s="344" t="inlineStr">
        <is>
          <t>XII - CORREDORES: Mutuo mercantil</t>
        </is>
      </c>
      <c r="C532" s="345" t="n">
        <v>2</v>
      </c>
      <c r="D532" s="208" t="inlineStr">
        <is>
          <t>Liquidez / convertibilidad</t>
        </is>
      </c>
      <c r="E532" s="208" t="inlineStr">
        <is>
          <t>Préstamo mercantil que permite mover recursos con rapidez.</t>
        </is>
      </c>
      <c r="F532" s="208" t="inlineStr">
        <is>
          <t>Mutuo con disposición condicionada.</t>
        </is>
      </c>
      <c r="G532" s="208" t="inlineStr">
        <is>
          <t>Mutuo de bajo monto con calendario definido.</t>
        </is>
      </c>
    </row>
    <row r="533" ht="18.75" customHeight="1" s="173">
      <c r="A533" s="208">
        <f>B533&amp;"-"&amp;C533</f>
        <v/>
      </c>
      <c r="B533" s="344" t="inlineStr">
        <is>
          <t>XII - CORREDORES: Mutuo mercantil</t>
        </is>
      </c>
      <c r="C533" s="345" t="n">
        <v>3</v>
      </c>
      <c r="D533" s="208" t="inlineStr">
        <is>
          <t>Anonimato / identificación del beneficiario</t>
        </is>
      </c>
      <c r="E533" s="208" t="inlineStr">
        <is>
          <t>Mutuo que encubre al verdadero aportante o beneficiario de fondos.</t>
        </is>
      </c>
      <c r="F533" s="208" t="inlineStr">
        <is>
          <t>Partes identificables con vínculo poco claro.</t>
        </is>
      </c>
      <c r="G533" s="208" t="inlineStr">
        <is>
          <t>Mutuante y mutuatario plenamente identificados.</t>
        </is>
      </c>
    </row>
    <row r="534" ht="18.75" customHeight="1" s="173">
      <c r="A534" s="208">
        <f>B534&amp;"-"&amp;C534</f>
        <v/>
      </c>
      <c r="B534" s="344" t="inlineStr">
        <is>
          <t>XII - CORREDORES: Mutuo mercantil</t>
        </is>
      </c>
      <c r="C534" s="345" t="n">
        <v>4</v>
      </c>
      <c r="D534" s="208" t="inlineStr">
        <is>
          <t>Transferencia u ocultamiento de valor</t>
        </is>
      </c>
      <c r="E534" s="208" t="inlineStr">
        <is>
          <t>Contrato usado para simular y circular fondos ilícitos.</t>
        </is>
      </c>
      <c r="F534" s="208" t="inlineStr">
        <is>
          <t>Flujo del mutuo con trazabilidad parcial.</t>
        </is>
      </c>
      <c r="G534" s="208" t="inlineStr">
        <is>
          <t>Flujo del mutuo plenamente trazable.</t>
        </is>
      </c>
    </row>
    <row r="535" ht="18.75" customHeight="1" s="173">
      <c r="A535" s="208">
        <f>B535&amp;"-"&amp;C535</f>
        <v/>
      </c>
      <c r="B535" s="344" t="inlineStr">
        <is>
          <t>XII - CORREDORES: Mutuo mercantil</t>
        </is>
      </c>
      <c r="C535" s="345" t="n">
        <v>5</v>
      </c>
      <c r="D535" s="208" t="inlineStr">
        <is>
          <t>Exposición del acto u operación al financiamiento al terrorismo</t>
        </is>
      </c>
      <c r="E535" s="208" t="inlineStr">
        <is>
          <t>Mutuos mercantiles con partes vinculadas con personas u organizaciones señaladas en listas de sanciones.</t>
        </is>
      </c>
      <c r="F535" s="208" t="inlineStr">
        <is>
          <t>Mutuos entre partes sin relación comercial acreditada o con recursos del extranjero, sin coincidencias en listas.</t>
        </is>
      </c>
      <c r="G535" s="208" t="inlineStr">
        <is>
          <t>Mutuo entre partes identificadas, con relación comercial acreditada y entrega bancarizada.</t>
        </is>
      </c>
    </row>
    <row r="536" ht="18.75" customHeight="1" s="173">
      <c r="A536" s="208">
        <f>B536&amp;"-"&amp;C536</f>
        <v/>
      </c>
      <c r="B536" s="344" t="inlineStr">
        <is>
          <t>XII - CORREDORES: Mutuo mercantil</t>
        </is>
      </c>
      <c r="C536" s="345" t="n">
        <v>6</v>
      </c>
      <c r="D536" s="208" t="inlineStr">
        <is>
          <t>Tipo de persona y estructura</t>
        </is>
      </c>
      <c r="E536" s="208" t="inlineStr">
        <is>
          <t>Parte persona moral extranjera o estructura opaca.</t>
        </is>
      </c>
      <c r="F536" s="208" t="inlineStr">
        <is>
          <t>Parte persona moral nacional estándar.</t>
        </is>
      </c>
      <c r="G536" s="208" t="inlineStr">
        <is>
          <t>Partes con estructura transparente identificada.</t>
        </is>
      </c>
    </row>
    <row r="537" ht="18.75" customHeight="1" s="173">
      <c r="A537" s="208">
        <f>B537&amp;"-"&amp;C537</f>
        <v/>
      </c>
      <c r="B537" s="344" t="inlineStr">
        <is>
          <t>XII - CORREDORES: Mutuo mercantil</t>
        </is>
      </c>
      <c r="C537" s="345" t="n">
        <v>7</v>
      </c>
      <c r="D537" s="208" t="inlineStr">
        <is>
          <t>Edad / fecha de constitución</t>
        </is>
      </c>
      <c r="E537" s="208" t="inlineStr">
        <is>
          <t>Parte de reciente creacion o perfil atípico.</t>
        </is>
      </c>
      <c r="F537" s="208" t="inlineStr">
        <is>
          <t>Partes con antigüedad intermedia.</t>
        </is>
      </c>
      <c r="G537" s="208" t="inlineStr">
        <is>
          <t>Partes consolidadas con historial verificable.</t>
        </is>
      </c>
    </row>
    <row r="538" ht="18.75" customHeight="1" s="173">
      <c r="A538" s="208">
        <f>B538&amp;"-"&amp;C538</f>
        <v/>
      </c>
      <c r="B538" s="344" t="inlineStr">
        <is>
          <t>XII - CORREDORES: Mutuo mercantil</t>
        </is>
      </c>
      <c r="C538" s="345" t="n">
        <v>8</v>
      </c>
      <c r="D538" s="208" t="inlineStr">
        <is>
          <t>Actividad económica o giro (y fuente de ingresos)</t>
        </is>
      </c>
      <c r="E538" s="208" t="inlineStr">
        <is>
          <t>Prestamista con giro informal, en efectivo o sin capacidad congruente.</t>
        </is>
      </c>
      <c r="F538" s="208" t="inlineStr">
        <is>
          <t>Giro formal de riesgo medio con ingresos documentables.</t>
        </is>
      </c>
      <c r="G538" s="208" t="inlineStr">
        <is>
          <t>Giro formal de bajo riesgo, capacidad económica congruente.</t>
        </is>
      </c>
    </row>
    <row r="539" ht="18.75" customHeight="1" s="173">
      <c r="A539" s="208">
        <f>B539&amp;"-"&amp;C539</f>
        <v/>
      </c>
      <c r="B539" s="344" t="inlineStr">
        <is>
          <t>XII - CORREDORES: Mutuo mercantil</t>
        </is>
      </c>
      <c r="C539" s="345" t="n">
        <v>9</v>
      </c>
      <c r="D539" s="208" t="inlineStr">
        <is>
          <t>Nacionalidad del cliente</t>
        </is>
      </c>
      <c r="E539" s="208" t="inlineStr">
        <is>
          <t>Cliente de país en listas GAFI, sancionado o de régimen fiscal preferente.</t>
        </is>
      </c>
      <c r="F539" s="208" t="inlineStr">
        <is>
          <t>Nacionalidad extranjera de país sin alertas relevantes.</t>
        </is>
      </c>
      <c r="G539" s="208" t="inlineStr">
        <is>
          <t>Cliente mexicano o de país cooperante sin observaciones.</t>
        </is>
      </c>
    </row>
    <row r="540" ht="18.75" customHeight="1" s="173">
      <c r="A540" s="208">
        <f>B540&amp;"-"&amp;C540</f>
        <v/>
      </c>
      <c r="B540" s="344" t="inlineStr">
        <is>
          <t>XII - CORREDORES: Mutuo mercantil</t>
        </is>
      </c>
      <c r="C540" s="345" t="n">
        <v>10</v>
      </c>
      <c r="D540" s="208" t="inlineStr">
        <is>
          <t>País (y en su caso, estado) de residencia del cliente</t>
        </is>
      </c>
      <c r="E540" s="208" t="inlineStr">
        <is>
          <t>Reside en jurisdicción de alto riesgo o con domicilio no verificable.</t>
        </is>
      </c>
      <c r="F540" s="208" t="inlineStr">
        <is>
          <t>Reside en el extranjero en país cooperante, con domicilio comprobable.</t>
        </is>
      </c>
      <c r="G540" s="208" t="inlineStr">
        <is>
          <t>Residencia nacional verificada y estable.</t>
        </is>
      </c>
    </row>
    <row r="541" ht="18.75" customHeight="1" s="173">
      <c r="A541" s="208">
        <f>B541&amp;"-"&amp;C541</f>
        <v/>
      </c>
      <c r="B541" s="344" t="inlineStr">
        <is>
          <t>XII - CORREDORES: Mutuo mercantil</t>
        </is>
      </c>
      <c r="C541" s="345" t="n">
        <v>11</v>
      </c>
      <c r="D541" s="208" t="inlineStr">
        <is>
          <t>Condición PEP</t>
        </is>
      </c>
      <c r="E541" s="208" t="inlineStr">
        <is>
          <t>PEP nacional o extranjera, o allegado que actua por su cuenta.</t>
        </is>
      </c>
      <c r="F541" s="208" t="inlineStr">
        <is>
          <t>Vinculo indirecto con PEP o PEP de perfil menor, monitoreado.</t>
        </is>
      </c>
      <c r="G541" s="208" t="inlineStr">
        <is>
          <t>Sin condición PEP ni vínculos con funcionarios.</t>
        </is>
      </c>
    </row>
    <row r="542" ht="18.75" customHeight="1" s="173">
      <c r="A542" s="208">
        <f>B542&amp;"-"&amp;C542</f>
        <v/>
      </c>
      <c r="B542" s="344" t="inlineStr">
        <is>
          <t>XII - CORREDORES: Mutuo mercantil</t>
        </is>
      </c>
      <c r="C542" s="345" t="n">
        <v>12</v>
      </c>
      <c r="D542" s="208" t="inlineStr">
        <is>
          <t>Coincidencia en listas de personas bloqueadas o de sanciones</t>
        </is>
      </c>
      <c r="E542" s="208" t="inlineStr">
        <is>
          <t>El mutuante o mutuatario, su beneficiario controlador, apoderado o contraparte aparece en la Lista de Personas Bloqueadas, en listas de sanciones o en listas de organizaciones terroristas, o presenta una coincidencia fuerte que no ha sido descartada.</t>
        </is>
      </c>
      <c r="F542" s="208" t="inlineStr">
        <is>
          <t>Se detecta coincidencia parcial u homonimia respecto del mutuante o mutuatario o de alguna persona relacionada, y el descarte se encuentra en proceso con constancia documental.</t>
        </is>
      </c>
      <c r="G542" s="208" t="inlineStr">
        <is>
          <t>Búsqueda realizada y documentada sobre el mutuante o mutuatario y sus personas relacionadas, sin coincidencias.</t>
        </is>
      </c>
    </row>
    <row r="543" ht="18.75" customHeight="1" s="173">
      <c r="A543" s="208">
        <f>B543&amp;"-"&amp;C543</f>
        <v/>
      </c>
      <c r="B543" s="344" t="inlineStr">
        <is>
          <t>XII - CORREDORES: Mutuo mercantil</t>
        </is>
      </c>
      <c r="C543" s="345" t="n">
        <v>13</v>
      </c>
      <c r="D543" s="208" t="inlineStr">
        <is>
          <t>Identificación y complejidad del Beneficiario Controlador</t>
        </is>
      </c>
      <c r="E543" s="208" t="inlineStr">
        <is>
          <t>No se logra identificar al beneficiario controlador del mutuante o mutuatario, o la estructura interpone dos o más niveles societarios, fiduciarios o vehículos constituidos en el extranjero para llegar al 25 por ciento.</t>
        </is>
      </c>
      <c r="F543" s="208" t="inlineStr">
        <is>
          <t>Beneficiario controlador identificado, pero a través de una estructura de más de un nivel o con participación indirecta que exigió reconstruir la cadena de control con documentos.</t>
        </is>
      </c>
      <c r="G543" s="208" t="inlineStr">
        <is>
          <t>Beneficiario controlador identificado de forma directa y documentada: persona física que posee al menos el 25 por ciento o que ejerce el control por otra vía acreditada.</t>
        </is>
      </c>
    </row>
    <row r="544" ht="18.75" customHeight="1" s="173">
      <c r="A544" s="208">
        <f>B544&amp;"-"&amp;C544</f>
        <v/>
      </c>
      <c r="B544" s="344" t="inlineStr">
        <is>
          <t>XII - CORREDORES: Mutuo mercantil</t>
        </is>
      </c>
      <c r="C544" s="345" t="n">
        <v>14</v>
      </c>
      <c r="D544" s="208" t="inlineStr">
        <is>
          <t>País / jurisdicción donde se realiza la operación</t>
        </is>
      </c>
      <c r="E544" s="208" t="inlineStr">
        <is>
          <t>Operación con o desde jurisdicción de alto riesgo o no cooperante.</t>
        </is>
      </c>
      <c r="F544" s="208" t="inlineStr">
        <is>
          <t>Operación con componente internacional en país cooperante.</t>
        </is>
      </c>
      <c r="G544" s="208" t="inlineStr">
        <is>
          <t>Operación integramente nacional.</t>
        </is>
      </c>
    </row>
    <row r="545" ht="18.75" customHeight="1" s="173">
      <c r="A545" s="208">
        <f>B545&amp;"-"&amp;C545</f>
        <v/>
      </c>
      <c r="B545" s="344" t="inlineStr">
        <is>
          <t>XII - CORREDORES: Mutuo mercantil</t>
        </is>
      </c>
      <c r="C545" s="345" t="n">
        <v>15</v>
      </c>
      <c r="D545" s="208" t="inlineStr">
        <is>
          <t>Área geográfica nacional de la operación</t>
        </is>
      </c>
      <c r="E545" s="208" t="inlineStr">
        <is>
          <t>Zona de alta incidencia delictiva, marginacion o frontera.</t>
        </is>
      </c>
      <c r="F545" s="208" t="inlineStr">
        <is>
          <t>Zona urbana ordinaria sin alertas particulares.</t>
        </is>
      </c>
      <c r="G545" s="208" t="inlineStr">
        <is>
          <t>Zona de bajo riesgo con actividad económica formal.</t>
        </is>
      </c>
    </row>
    <row r="546" ht="18.75" customHeight="1" s="173">
      <c r="A546" s="208">
        <f>B546&amp;"-"&amp;C546</f>
        <v/>
      </c>
      <c r="B546" s="344" t="inlineStr">
        <is>
          <t>XII - CORREDORES: Mutuo mercantil</t>
        </is>
      </c>
      <c r="C546" s="345" t="n">
        <v>16</v>
      </c>
      <c r="D546" s="208" t="inlineStr">
        <is>
          <t>Vínculo con jurisdicciones sancionadas, en conflicto o de acción requerida por el GAFI</t>
        </is>
      </c>
      <c r="E546" s="208" t="inlineStr">
        <is>
          <t>Existe exposición a jurisdicciones sancionadas, en conflicto armado o de acción requerida del GAFI, por la vía de mutuante o recursos provenientes del extranjero.</t>
        </is>
      </c>
      <c r="F546" s="208" t="inlineStr">
        <is>
          <t>Vínculo con jurisdicciones bajo monitoreo intensificado del GAFI o con deficiencias señaladas en la ENR, sin estar sancionadas ni en conflicto.</t>
        </is>
      </c>
      <c r="G546" s="208" t="inlineStr">
        <is>
          <t>Sin vínculo con jurisdicciones sancionadas, en conflicto o listadas por el GAFI; la operación y sus partes se ubican en plazas sin señalamientos.</t>
        </is>
      </c>
    </row>
    <row r="547" ht="18.75" customHeight="1" s="173">
      <c r="A547" s="208">
        <f>B547&amp;"-"&amp;C547</f>
        <v/>
      </c>
      <c r="B547" s="344" t="inlineStr">
        <is>
          <t>XII - CORREDORES: Mutuo mercantil</t>
        </is>
      </c>
      <c r="C547" s="345" t="n">
        <v>17</v>
      </c>
      <c r="D547" s="208" t="inlineStr">
        <is>
          <t>Congruencia entre el domicilio del Cliente y el lugar de la operación</t>
        </is>
      </c>
      <c r="E547" s="208" t="inlineStr">
        <is>
          <t>El domicilio del mutuante o mutuatario no guarda relación económica ni logística con el lugar donde se realiza el otorgamiento del mutuo mercantil, y no existe explicación documentada del desplazamiento.</t>
        </is>
      </c>
      <c r="F547" s="208" t="inlineStr">
        <is>
          <t>Existe distancia relevante entre el domicilio del mutuante o mutuatario y el lugar de la operación, con explicación plausible pero no soportada en el expediente.</t>
        </is>
      </c>
      <c r="G547" s="208" t="inlineStr">
        <is>
          <t>El domicilio del mutuante o mutuatario corresponde a la plaza donde se realiza el otorgamiento del mutuo mercantil, o el desplazamiento está justificado y documentado.</t>
        </is>
      </c>
    </row>
    <row r="548" ht="18.75" customHeight="1" s="173">
      <c r="A548" s="208">
        <f>B548&amp;"-"&amp;C548</f>
        <v/>
      </c>
      <c r="B548" s="344" t="inlineStr">
        <is>
          <t>XII - CORREDORES: Mutuo mercantil</t>
        </is>
      </c>
      <c r="C548" s="345" t="n">
        <v>18</v>
      </c>
      <c r="D548" s="208" t="inlineStr">
        <is>
          <t>Instrumento monetario</t>
        </is>
      </c>
      <c r="E548" s="208" t="inlineStr">
        <is>
          <t>Entrega del préstamo en efectivo o instrumentos al portador.</t>
        </is>
      </c>
      <c r="F548" s="208" t="inlineStr">
        <is>
          <t>Entrega mediante cheque o transferencia con trazabilidad parcial.</t>
        </is>
      </c>
      <c r="G548" s="208" t="inlineStr">
        <is>
          <t>Entrega mediante transferencia bancaria nominativa trazable.</t>
        </is>
      </c>
    </row>
    <row r="549" ht="18.75" customHeight="1" s="173">
      <c r="A549" s="208">
        <f>B549&amp;"-"&amp;C549</f>
        <v/>
      </c>
      <c r="B549" s="344" t="inlineStr">
        <is>
          <t>XII - CORREDORES: Mutuo mercantil</t>
        </is>
      </c>
      <c r="C549" s="345" t="n">
        <v>19</v>
      </c>
      <c r="D549" s="208" t="inlineStr">
        <is>
          <t>Tipo de moneda</t>
        </is>
      </c>
      <c r="E549" s="208" t="inlineStr">
        <is>
          <t>Moneda extranjera distinta al USD o criptomonedas.</t>
        </is>
      </c>
      <c r="F549" s="208" t="inlineStr">
        <is>
          <t>Operación en dolares estadounidenses (USD).</t>
        </is>
      </c>
      <c r="G549" s="208" t="inlineStr">
        <is>
          <t>Operación en pesos mexicanos.</t>
        </is>
      </c>
    </row>
    <row r="550" ht="18.75" customHeight="1" s="173">
      <c r="A550" s="208">
        <f>B550&amp;"-"&amp;C550</f>
        <v/>
      </c>
      <c r="B550" s="344" t="inlineStr">
        <is>
          <t>XII - CORREDORES: Mutuo mercantil</t>
        </is>
      </c>
      <c r="C550" s="345" t="n">
        <v>20</v>
      </c>
      <c r="D550" s="208" t="inlineStr">
        <is>
          <t>Monto frente a umbrales LFPIORPI</t>
        </is>
      </c>
      <c r="E550" s="208" t="inlineStr">
        <is>
          <t>Aviso obligatorio siempre; mutuo de monto elevado.</t>
        </is>
      </c>
      <c r="F550" s="208" t="inlineStr">
        <is>
          <t>Aviso obligatorio siempre; mutuo de monto intermedio.</t>
        </is>
      </c>
      <c r="G550" s="208" t="inlineStr">
        <is>
          <t>Aviso obligatorio siempre; mutuo de monto reducido.</t>
        </is>
      </c>
    </row>
    <row r="551" ht="18.75" customHeight="1" s="173">
      <c r="A551" s="208">
        <f>B551&amp;"-"&amp;C551</f>
        <v/>
      </c>
      <c r="B551" s="344" t="inlineStr">
        <is>
          <t>XII - CORREDORES: Mutuo mercantil</t>
        </is>
      </c>
      <c r="C551" s="345" t="n">
        <v>21</v>
      </c>
      <c r="D551" s="208" t="inlineStr">
        <is>
          <t>Frecuencia (fraccionamiento)</t>
        </is>
      </c>
      <c r="E551" s="208" t="inlineStr">
        <is>
          <t>Mutuos frecuentes o fraccionados entre las mismas partes.</t>
        </is>
      </c>
      <c r="F551" s="208" t="inlineStr">
        <is>
          <t>Mutuos ocasionales sin patron evidente.</t>
        </is>
      </c>
      <c r="G551" s="208" t="inlineStr">
        <is>
          <t>Mutuo único, congruente con el perfil.</t>
        </is>
      </c>
    </row>
    <row r="552" ht="18.75" customHeight="1" s="173">
      <c r="A552" s="208">
        <f>B552&amp;"-"&amp;C552</f>
        <v/>
      </c>
      <c r="B552" s="344" t="inlineStr">
        <is>
          <t>XII - CORREDORES: Mutuo mercantil</t>
        </is>
      </c>
      <c r="C552" s="345" t="n">
        <v>22</v>
      </c>
      <c r="D552" s="208" t="inlineStr">
        <is>
          <t>Canal (presencial / no presencial / terceros)</t>
        </is>
      </c>
      <c r="E552" s="208" t="inlineStr">
        <is>
          <t>Operación no presencial o a traves de terceros sin contacto directo.</t>
        </is>
      </c>
      <c r="F552" s="208" t="inlineStr">
        <is>
          <t>Contacto mixto o mediante representante identificado.</t>
        </is>
      </c>
      <c r="G552" s="208" t="inlineStr">
        <is>
          <t>Cliente atendido de forma presencial y directa.</t>
        </is>
      </c>
    </row>
    <row r="553" ht="18.75" customHeight="1" s="173">
      <c r="A553" s="208">
        <f>B553&amp;"-"&amp;C553</f>
        <v/>
      </c>
      <c r="B553" s="344" t="inlineStr">
        <is>
          <t>XII - CORREDORES: Mutuo mercantil</t>
        </is>
      </c>
      <c r="C553" s="345" t="n">
        <v>23</v>
      </c>
      <c r="D553" s="208" t="inlineStr">
        <is>
          <t>Origen de los recursos</t>
        </is>
      </c>
      <c r="E553" s="208" t="inlineStr">
        <is>
          <t>Recursos prestados de origen no acreditable, en efectivo o informal.</t>
        </is>
      </c>
      <c r="F553" s="208" t="inlineStr">
        <is>
          <t>Origen de los fondos con soporte parcial.</t>
        </is>
      </c>
      <c r="G553" s="208" t="inlineStr">
        <is>
          <t>Fondos de origen lícito documentado.</t>
        </is>
      </c>
    </row>
    <row r="554" ht="18.75" customHeight="1" s="173">
      <c r="A554" s="208">
        <f>B554&amp;"-"&amp;C554</f>
        <v/>
      </c>
      <c r="B554" s="344" t="inlineStr">
        <is>
          <t>XII - CORREDORES: Mutuo mercantil</t>
        </is>
      </c>
      <c r="C554" s="345" t="n">
        <v>24</v>
      </c>
      <c r="D554" s="208" t="inlineStr">
        <is>
          <t>Destino de los recursos</t>
        </is>
      </c>
      <c r="E554" s="208" t="inlineStr">
        <is>
          <t>Destino del préstamo opaco, a terceros o al exterior sin justificación.</t>
        </is>
      </c>
      <c r="F554" s="208" t="inlineStr">
        <is>
          <t>Destino del préstamo parcialmente justificado.</t>
        </is>
      </c>
      <c r="G554" s="208" t="inlineStr">
        <is>
          <t>Destino del préstamo claro y documentado.</t>
        </is>
      </c>
    </row>
    <row r="555" ht="18.75" customHeight="1" s="173">
      <c r="A555" s="208">
        <f>B555&amp;"-"&amp;C555</f>
        <v/>
      </c>
      <c r="B555" s="344" t="inlineStr">
        <is>
          <t>XII - CORREDORES: Mutuo mercantil</t>
        </is>
      </c>
      <c r="C555" s="345" t="n">
        <v>25</v>
      </c>
      <c r="D555" s="208" t="inlineStr">
        <is>
          <t>Canales e instrumentos idóneos para el financiamiento al terrorismo</t>
        </is>
      </c>
      <c r="E555" s="208" t="inlineStr">
        <is>
          <t>La operación se realiza mediante formalización a distancia con entrega en efectivo, es decir, medios que permiten mover valor en montos pequeños sin identificar al destinatario final.</t>
        </is>
      </c>
      <c r="F555" s="208" t="inlineStr">
        <is>
          <t>Canal mixto o con verificación parcial: hay registro de la operación pero la trazabilidad del destinatario final es incompleta.</t>
        </is>
      </c>
      <c r="G555" s="208" t="inlineStr">
        <is>
          <t>Formalización con ambas partes identificadas y entrega bancarizada, con trazabilidad completa del origen y del destinatario.</t>
        </is>
      </c>
    </row>
    <row r="556" ht="18.75" customHeight="1" s="173">
      <c r="A556" s="208">
        <f>B556&amp;"-"&amp;C556</f>
        <v/>
      </c>
      <c r="B556" s="344" t="inlineStr">
        <is>
          <t>XII - FACILITADORES: Solución de controversias</t>
        </is>
      </c>
      <c r="C556" s="345" t="n">
        <v>1</v>
      </c>
      <c r="D556" s="208" t="inlineStr">
        <is>
          <t>Valor del producto o servicio</t>
        </is>
      </c>
      <c r="E556" s="208" t="inlineStr">
        <is>
          <t>Solución de controversia internacional de alto valor económico.</t>
        </is>
      </c>
      <c r="F556" s="208" t="inlineStr">
        <is>
          <t>Controversia nacional de valor intermedio.</t>
        </is>
      </c>
      <c r="G556" s="208" t="inlineStr">
        <is>
          <t>Controversia de bajo valor económico.</t>
        </is>
      </c>
    </row>
    <row r="557" ht="18.75" customHeight="1" s="173">
      <c r="A557" s="208">
        <f>B557&amp;"-"&amp;C557</f>
        <v/>
      </c>
      <c r="B557" s="344" t="inlineStr">
        <is>
          <t>XII - FACILITADORES: Solución de controversias</t>
        </is>
      </c>
      <c r="C557" s="345" t="n">
        <v>2</v>
      </c>
      <c r="D557" s="208" t="inlineStr">
        <is>
          <t>Liquidez / convertibilidad</t>
        </is>
      </c>
      <c r="E557" s="208" t="inlineStr">
        <is>
          <t>Acuerdo que canaliza y libera valor con rapidez entre las partes.</t>
        </is>
      </c>
      <c r="F557" s="208" t="inlineStr">
        <is>
          <t>Acuerdo con liberacion de valor condicionada.</t>
        </is>
      </c>
      <c r="G557" s="208" t="inlineStr">
        <is>
          <t>Acuerdo de baja cuantía sin conversión relevante.</t>
        </is>
      </c>
    </row>
    <row r="558" ht="18.75" customHeight="1" s="173">
      <c r="A558" s="208">
        <f>B558&amp;"-"&amp;C558</f>
        <v/>
      </c>
      <c r="B558" s="344" t="inlineStr">
        <is>
          <t>XII - FACILITADORES: Solución de controversias</t>
        </is>
      </c>
      <c r="C558" s="345" t="n">
        <v>3</v>
      </c>
      <c r="D558" s="208" t="inlineStr">
        <is>
          <t>Anonimato / identificación del beneficiario</t>
        </is>
      </c>
      <c r="E558" s="208" t="inlineStr">
        <is>
          <t>Estructura del acuerdo que oculta al beneficiario real de los fondos.</t>
        </is>
      </c>
      <c r="F558" s="208" t="inlineStr">
        <is>
          <t>Partes identificables con vínculo poco claro.</t>
        </is>
      </c>
      <c r="G558" s="208" t="inlineStr">
        <is>
          <t>Partes en controversia plenamente identificadas.</t>
        </is>
      </c>
    </row>
    <row r="559" ht="18.75" customHeight="1" s="173">
      <c r="A559" s="208">
        <f>B559&amp;"-"&amp;C559</f>
        <v/>
      </c>
      <c r="B559" s="344" t="inlineStr">
        <is>
          <t>XII - FACILITADORES: Solución de controversias</t>
        </is>
      </c>
      <c r="C559" s="345" t="n">
        <v>4</v>
      </c>
      <c r="D559" s="208" t="inlineStr">
        <is>
          <t>Transferencia u ocultamiento de valor</t>
        </is>
      </c>
      <c r="E559" s="208" t="inlineStr">
        <is>
          <t>Servicio usado para dar apariencia legal y legitimar flujos ilícitos.</t>
        </is>
      </c>
      <c r="F559" s="208" t="inlineStr">
        <is>
          <t>Flujos del acuerdo con trazabilidad parcial.</t>
        </is>
      </c>
      <c r="G559" s="208" t="inlineStr">
        <is>
          <t>Flujos del acuerdo plenamente trazables.</t>
        </is>
      </c>
    </row>
    <row r="560" ht="18.75" customHeight="1" s="173">
      <c r="A560" s="208">
        <f>B560&amp;"-"&amp;C560</f>
        <v/>
      </c>
      <c r="B560" s="344" t="inlineStr">
        <is>
          <t>XII - FACILITADORES: Solución de controversias</t>
        </is>
      </c>
      <c r="C560" s="345" t="n">
        <v>5</v>
      </c>
      <c r="D560" s="208" t="inlineStr">
        <is>
          <t>Exposición del acto u operación al financiamiento al terrorismo</t>
        </is>
      </c>
      <c r="E560" s="208" t="inlineStr">
        <is>
          <t>Convenios usados para dar apariencia de licitud a transferencias a favor de personas u organizaciones señaladas en listas de sanciones.</t>
        </is>
      </c>
      <c r="F560" s="208" t="inlineStr">
        <is>
          <t>Controversias sin sustancia real entre partes relacionadas, sin coincidencias en listas.</t>
        </is>
      </c>
      <c r="G560" s="208" t="inlineStr">
        <is>
          <t>Controversia real y documentada entre partes identificadas, con pago bancarizado.</t>
        </is>
      </c>
    </row>
    <row r="561" ht="18.75" customHeight="1" s="173">
      <c r="A561" s="208">
        <f>B561&amp;"-"&amp;C561</f>
        <v/>
      </c>
      <c r="B561" s="344" t="inlineStr">
        <is>
          <t>XII - FACILITADORES: Solución de controversias</t>
        </is>
      </c>
      <c r="C561" s="345" t="n">
        <v>6</v>
      </c>
      <c r="D561" s="208" t="inlineStr">
        <is>
          <t>Tipo de persona y estructura</t>
        </is>
      </c>
      <c r="E561" s="208" t="inlineStr">
        <is>
          <t>Parte persona moral extranjera o estructura opaca.</t>
        </is>
      </c>
      <c r="F561" s="208" t="inlineStr">
        <is>
          <t>Parte persona moral nacional estándar.</t>
        </is>
      </c>
      <c r="G561" s="208" t="inlineStr">
        <is>
          <t>Partes persona física identificadas.</t>
        </is>
      </c>
    </row>
    <row r="562" ht="18.75" customHeight="1" s="173">
      <c r="A562" s="208">
        <f>B562&amp;"-"&amp;C562</f>
        <v/>
      </c>
      <c r="B562" s="344" t="inlineStr">
        <is>
          <t>XII - FACILITADORES: Solución de controversias</t>
        </is>
      </c>
      <c r="C562" s="345" t="n">
        <v>7</v>
      </c>
      <c r="D562" s="208" t="inlineStr">
        <is>
          <t>Edad / fecha de constitución</t>
        </is>
      </c>
      <c r="E562" s="208" t="inlineStr">
        <is>
          <t>Parte recién constituida o de perfil atípico frente a la controversia.</t>
        </is>
      </c>
      <c r="F562" s="208" t="inlineStr">
        <is>
          <t>Partes con antigüedad intermedia.</t>
        </is>
      </c>
      <c r="G562" s="208" t="inlineStr">
        <is>
          <t>Partes consolidadas con historial verificable.</t>
        </is>
      </c>
    </row>
    <row r="563" ht="18.75" customHeight="1" s="173">
      <c r="A563" s="208">
        <f>B563&amp;"-"&amp;C563</f>
        <v/>
      </c>
      <c r="B563" s="344" t="inlineStr">
        <is>
          <t>XII - FACILITADORES: Solución de controversias</t>
        </is>
      </c>
      <c r="C563" s="345" t="n">
        <v>8</v>
      </c>
      <c r="D563" s="208" t="inlineStr">
        <is>
          <t>Actividad económica o giro (y fuente de ingresos)</t>
        </is>
      </c>
      <c r="E563" s="208" t="inlineStr">
        <is>
          <t>Parte con giro informal, en efectivo o ligado a otras AV.</t>
        </is>
      </c>
      <c r="F563" s="208" t="inlineStr">
        <is>
          <t>Giro formal de riesgo medio.</t>
        </is>
      </c>
      <c r="G563" s="208" t="inlineStr">
        <is>
          <t>Giro formal de bajo riesgo con ingresos claros.</t>
        </is>
      </c>
    </row>
    <row r="564" ht="18.75" customHeight="1" s="173">
      <c r="A564" s="208">
        <f>B564&amp;"-"&amp;C564</f>
        <v/>
      </c>
      <c r="B564" s="344" t="inlineStr">
        <is>
          <t>XII - FACILITADORES: Solución de controversias</t>
        </is>
      </c>
      <c r="C564" s="345" t="n">
        <v>9</v>
      </c>
      <c r="D564" s="208" t="inlineStr">
        <is>
          <t>Nacionalidad del cliente</t>
        </is>
      </c>
      <c r="E564" s="208" t="inlineStr">
        <is>
          <t>Cliente de país en listas GAFI, sancionado o de régimen fiscal preferente.</t>
        </is>
      </c>
      <c r="F564" s="208" t="inlineStr">
        <is>
          <t>Nacionalidad extranjera de país sin alertas relevantes.</t>
        </is>
      </c>
      <c r="G564" s="208" t="inlineStr">
        <is>
          <t>Cliente mexicano o de país cooperante sin observaciones.</t>
        </is>
      </c>
    </row>
    <row r="565" ht="18.75" customHeight="1" s="173">
      <c r="A565" s="208">
        <f>B565&amp;"-"&amp;C565</f>
        <v/>
      </c>
      <c r="B565" s="344" t="inlineStr">
        <is>
          <t>XII - FACILITADORES: Solución de controversias</t>
        </is>
      </c>
      <c r="C565" s="345" t="n">
        <v>10</v>
      </c>
      <c r="D565" s="208" t="inlineStr">
        <is>
          <t>País (y en su caso, estado) de residencia del cliente</t>
        </is>
      </c>
      <c r="E565" s="208" t="inlineStr">
        <is>
          <t>Reside en jurisdicción de alto riesgo o con domicilio no verificable.</t>
        </is>
      </c>
      <c r="F565" s="208" t="inlineStr">
        <is>
          <t>Reside en el extranjero en país cooperante, con domicilio comprobable.</t>
        </is>
      </c>
      <c r="G565" s="208" t="inlineStr">
        <is>
          <t>Residencia nacional verificada y estable.</t>
        </is>
      </c>
    </row>
    <row r="566" ht="18.75" customHeight="1" s="173">
      <c r="A566" s="208">
        <f>B566&amp;"-"&amp;C566</f>
        <v/>
      </c>
      <c r="B566" s="344" t="inlineStr">
        <is>
          <t>XII - FACILITADORES: Solución de controversias</t>
        </is>
      </c>
      <c r="C566" s="345" t="n">
        <v>11</v>
      </c>
      <c r="D566" s="208" t="inlineStr">
        <is>
          <t>Condición PEP</t>
        </is>
      </c>
      <c r="E566" s="208" t="inlineStr">
        <is>
          <t>PEP nacional o extranjera, o allegado que actua por su cuenta.</t>
        </is>
      </c>
      <c r="F566" s="208" t="inlineStr">
        <is>
          <t>Vinculo indirecto con PEP o PEP de perfil menor, monitoreado.</t>
        </is>
      </c>
      <c r="G566" s="208" t="inlineStr">
        <is>
          <t>Sin condición PEP ni vínculos con funcionarios.</t>
        </is>
      </c>
    </row>
    <row r="567" ht="18.75" customHeight="1" s="173">
      <c r="A567" s="208">
        <f>B567&amp;"-"&amp;C567</f>
        <v/>
      </c>
      <c r="B567" s="344" t="inlineStr">
        <is>
          <t>XII - FACILITADORES: Solución de controversias</t>
        </is>
      </c>
      <c r="C567" s="345" t="n">
        <v>12</v>
      </c>
      <c r="D567" s="208" t="inlineStr">
        <is>
          <t>Coincidencia en listas de personas bloqueadas o de sanciones</t>
        </is>
      </c>
      <c r="E567" s="208" t="inlineStr">
        <is>
          <t>La parte, su beneficiario controlador, apoderado o contraparte aparece en la Lista de Personas Bloqueadas, en listas de sanciones o en listas de organizaciones terroristas, o presenta una coincidencia fuerte que no ha sido descartada.</t>
        </is>
      </c>
      <c r="F567" s="208" t="inlineStr">
        <is>
          <t>Se detecta coincidencia parcial u homonimia respecto de la parte o de alguna persona relacionada, y el descarte se encuentra en proceso con constancia documental.</t>
        </is>
      </c>
      <c r="G567" s="208" t="inlineStr">
        <is>
          <t>Búsqueda realizada y documentada sobre la parte y sus personas relacionadas, sin coincidencias.</t>
        </is>
      </c>
    </row>
    <row r="568" ht="18.75" customHeight="1" s="173">
      <c r="A568" s="208">
        <f>B568&amp;"-"&amp;C568</f>
        <v/>
      </c>
      <c r="B568" s="344" t="inlineStr">
        <is>
          <t>XII - FACILITADORES: Solución de controversias</t>
        </is>
      </c>
      <c r="C568" s="345" t="n">
        <v>13</v>
      </c>
      <c r="D568" s="208" t="inlineStr">
        <is>
          <t>Identificación y complejidad del Beneficiario Controlador</t>
        </is>
      </c>
      <c r="E568" s="208" t="inlineStr">
        <is>
          <t>No se logra identificar al beneficiario controlador de la parte, o la estructura interpone dos o más niveles societarios, fiduciarios o vehículos constituidos en el extranjero para llegar al 25 por ciento.</t>
        </is>
      </c>
      <c r="F568" s="208" t="inlineStr">
        <is>
          <t>Beneficiario controlador identificado, pero a través de una estructura de más de un nivel o con participación indirecta que exigió reconstruir la cadena de control con documentos.</t>
        </is>
      </c>
      <c r="G568" s="208" t="inlineStr">
        <is>
          <t>Beneficiario controlador identificado de forma directa y documentada: persona física que posee al menos el 25 por ciento o que ejerce el control por otra vía acreditada.</t>
        </is>
      </c>
    </row>
    <row r="569" ht="18.75" customHeight="1" s="173">
      <c r="A569" s="208">
        <f>B569&amp;"-"&amp;C569</f>
        <v/>
      </c>
      <c r="B569" s="344" t="inlineStr">
        <is>
          <t>XII - FACILITADORES: Solución de controversias</t>
        </is>
      </c>
      <c r="C569" s="345" t="n">
        <v>14</v>
      </c>
      <c r="D569" s="208" t="inlineStr">
        <is>
          <t>País / jurisdicción donde se realiza la operación</t>
        </is>
      </c>
      <c r="E569" s="208" t="inlineStr">
        <is>
          <t>Operación con o desde jurisdicción de alto riesgo o no cooperante.</t>
        </is>
      </c>
      <c r="F569" s="208" t="inlineStr">
        <is>
          <t>Operación con componente internacional en país cooperante.</t>
        </is>
      </c>
      <c r="G569" s="208" t="inlineStr">
        <is>
          <t>Operación integramente nacional.</t>
        </is>
      </c>
    </row>
    <row r="570" ht="18.75" customHeight="1" s="173">
      <c r="A570" s="208">
        <f>B570&amp;"-"&amp;C570</f>
        <v/>
      </c>
      <c r="B570" s="344" t="inlineStr">
        <is>
          <t>XII - FACILITADORES: Solución de controversias</t>
        </is>
      </c>
      <c r="C570" s="345" t="n">
        <v>15</v>
      </c>
      <c r="D570" s="208" t="inlineStr">
        <is>
          <t>Área geográfica nacional de la operación</t>
        </is>
      </c>
      <c r="E570" s="208" t="inlineStr">
        <is>
          <t>Zona de alta incidencia delictiva, marginacion o frontera.</t>
        </is>
      </c>
      <c r="F570" s="208" t="inlineStr">
        <is>
          <t>Zona urbana ordinaria sin alertas particulares.</t>
        </is>
      </c>
      <c r="G570" s="208" t="inlineStr">
        <is>
          <t>Zona de bajo riesgo con actividad económica formal.</t>
        </is>
      </c>
    </row>
    <row r="571" ht="18.75" customHeight="1" s="173">
      <c r="A571" s="208">
        <f>B571&amp;"-"&amp;C571</f>
        <v/>
      </c>
      <c r="B571" s="344" t="inlineStr">
        <is>
          <t>XII - FACILITADORES: Solución de controversias</t>
        </is>
      </c>
      <c r="C571" s="345" t="n">
        <v>16</v>
      </c>
      <c r="D571" s="208" t="inlineStr">
        <is>
          <t>Vínculo con jurisdicciones sancionadas, en conflicto o de acción requerida por el GAFI</t>
        </is>
      </c>
      <c r="E571" s="208" t="inlineStr">
        <is>
          <t>Existe exposición a jurisdicciones sancionadas, en conflicto armado o de acción requerida del GAFI, por la vía de partes domiciliadas en el extranjero o pagos remitidos desde fuera del país.</t>
        </is>
      </c>
      <c r="F571" s="208" t="inlineStr">
        <is>
          <t>Vínculo con jurisdicciones bajo monitoreo intensificado del GAFI o con deficiencias señaladas en la ENR, sin estar sancionadas ni en conflicto.</t>
        </is>
      </c>
      <c r="G571" s="208" t="inlineStr">
        <is>
          <t>Sin vínculo con jurisdicciones sancionadas, en conflicto o listadas por el GAFI; la operación y sus partes se ubican en plazas sin señalamientos.</t>
        </is>
      </c>
    </row>
    <row r="572" ht="18.75" customHeight="1" s="173">
      <c r="A572" s="208">
        <f>B572&amp;"-"&amp;C572</f>
        <v/>
      </c>
      <c r="B572" s="344" t="inlineStr">
        <is>
          <t>XII - FACILITADORES: Solución de controversias</t>
        </is>
      </c>
      <c r="C572" s="345" t="n">
        <v>17</v>
      </c>
      <c r="D572" s="208" t="inlineStr">
        <is>
          <t>Congruencia entre el domicilio del Cliente y el lugar de la operación</t>
        </is>
      </c>
      <c r="E572" s="208" t="inlineStr">
        <is>
          <t>El domicilio de la parte no guarda relación económica ni logística con el lugar donde se realiza el convenio o acuerdo alcanzado, y no existe explicación documentada del desplazamiento.</t>
        </is>
      </c>
      <c r="F572" s="208" t="inlineStr">
        <is>
          <t>Existe distancia relevante entre el domicilio de la parte y el lugar de la operación, con explicación plausible pero no soportada en el expediente.</t>
        </is>
      </c>
      <c r="G572" s="208" t="inlineStr">
        <is>
          <t>El domicilio de la parte corresponde a la plaza donde se realiza el convenio o acuerdo alcanzado, o el desplazamiento está justificado y documentado.</t>
        </is>
      </c>
    </row>
    <row r="573" ht="18.75" customHeight="1" s="173">
      <c r="A573" s="208">
        <f>B573&amp;"-"&amp;C573</f>
        <v/>
      </c>
      <c r="B573" s="344" t="inlineStr">
        <is>
          <t>XII - FACILITADORES: Solución de controversias</t>
        </is>
      </c>
      <c r="C573" s="345" t="n">
        <v>18</v>
      </c>
      <c r="D573" s="208" t="inlineStr">
        <is>
          <t>Instrumento monetario</t>
        </is>
      </c>
      <c r="E573" s="208" t="inlineStr">
        <is>
          <t>Pago del acuerdo u honorarios en efectivo o instrumentos al portador.</t>
        </is>
      </c>
      <c r="F573" s="208" t="inlineStr">
        <is>
          <t>Pago mediante cheque o transferencia con trazabilidad parcial.</t>
        </is>
      </c>
      <c r="G573" s="208" t="inlineStr">
        <is>
          <t>Pago mediante transferencia bancaria nominativa trazable.</t>
        </is>
      </c>
    </row>
    <row r="574" ht="18.75" customHeight="1" s="173">
      <c r="A574" s="208">
        <f>B574&amp;"-"&amp;C574</f>
        <v/>
      </c>
      <c r="B574" s="344" t="inlineStr">
        <is>
          <t>XII - FACILITADORES: Solución de controversias</t>
        </is>
      </c>
      <c r="C574" s="345" t="n">
        <v>19</v>
      </c>
      <c r="D574" s="208" t="inlineStr">
        <is>
          <t>Tipo de moneda</t>
        </is>
      </c>
      <c r="E574" s="208" t="inlineStr">
        <is>
          <t>Moneda extranjera distinta al USD o criptomonedas.</t>
        </is>
      </c>
      <c r="F574" s="208" t="inlineStr">
        <is>
          <t>Operación en dolares estadounidenses (USD).</t>
        </is>
      </c>
      <c r="G574" s="208" t="inlineStr">
        <is>
          <t>Operación en pesos mexicanos.</t>
        </is>
      </c>
    </row>
    <row r="575" ht="18.75" customHeight="1" s="173">
      <c r="A575" s="208">
        <f>B575&amp;"-"&amp;C575</f>
        <v/>
      </c>
      <c r="B575" s="344" t="inlineStr">
        <is>
          <t>XII - FACILITADORES: Solución de controversias</t>
        </is>
      </c>
      <c r="C575" s="345" t="n">
        <v>20</v>
      </c>
      <c r="D575" s="208" t="inlineStr">
        <is>
          <t>Monto frente a umbrales LFPIORPI</t>
        </is>
      </c>
      <c r="E575" s="208" t="inlineStr">
        <is>
          <t>Cuantía de la controversia supera el umbral de aviso (8,025 UMA).</t>
        </is>
      </c>
      <c r="F575" s="208" t="inlineStr">
        <is>
          <t>Cuantía cercana al umbral de aviso (8,025 UMA).</t>
        </is>
      </c>
      <c r="G575" s="208" t="inlineStr">
        <is>
          <t>Cuantía muy por debajo del umbral (8,025 UMA).</t>
        </is>
      </c>
    </row>
    <row r="576" ht="18.75" customHeight="1" s="173">
      <c r="A576" s="208">
        <f>B576&amp;"-"&amp;C576</f>
        <v/>
      </c>
      <c r="B576" s="344" t="inlineStr">
        <is>
          <t>XII - FACILITADORES: Solución de controversias</t>
        </is>
      </c>
      <c r="C576" s="345" t="n">
        <v>21</v>
      </c>
      <c r="D576" s="208" t="inlineStr">
        <is>
          <t>Frecuencia (fraccionamiento)</t>
        </is>
      </c>
      <c r="E576" s="208" t="inlineStr">
        <is>
          <t>Acuerdos frecuentes o fraccionados entre las mismas partes.</t>
        </is>
      </c>
      <c r="F576" s="208" t="inlineStr">
        <is>
          <t>Intervenciones ocasionales sin patron evidente.</t>
        </is>
      </c>
      <c r="G576" s="208" t="inlineStr">
        <is>
          <t>Intervención única, congruente con el perfil.</t>
        </is>
      </c>
    </row>
    <row r="577" ht="18.75" customHeight="1" s="173">
      <c r="A577" s="208">
        <f>B577&amp;"-"&amp;C577</f>
        <v/>
      </c>
      <c r="B577" s="344" t="inlineStr">
        <is>
          <t>XII - FACILITADORES: Solución de controversias</t>
        </is>
      </c>
      <c r="C577" s="345" t="n">
        <v>22</v>
      </c>
      <c r="D577" s="208" t="inlineStr">
        <is>
          <t>Canal (presencial / no presencial / terceros)</t>
        </is>
      </c>
      <c r="E577" s="208" t="inlineStr">
        <is>
          <t>Operación no presencial o a traves de terceros sin contacto directo.</t>
        </is>
      </c>
      <c r="F577" s="208" t="inlineStr">
        <is>
          <t>Contacto mixto o mediante representante identificado.</t>
        </is>
      </c>
      <c r="G577" s="208" t="inlineStr">
        <is>
          <t>Cliente atendido de forma presencial y directa.</t>
        </is>
      </c>
    </row>
    <row r="578" ht="18.75" customHeight="1" s="173">
      <c r="A578" s="208">
        <f>B578&amp;"-"&amp;C578</f>
        <v/>
      </c>
      <c r="B578" s="344" t="inlineStr">
        <is>
          <t>XII - FACILITADORES: Solución de controversias</t>
        </is>
      </c>
      <c r="C578" s="345" t="n">
        <v>23</v>
      </c>
      <c r="D578" s="208" t="inlineStr">
        <is>
          <t>Origen de los recursos</t>
        </is>
      </c>
      <c r="E578" s="208" t="inlineStr">
        <is>
          <t>Recursos del acuerdo de origen no acreditable o en efectivo.</t>
        </is>
      </c>
      <c r="F578" s="208" t="inlineStr">
        <is>
          <t>Origen de los fondos con soporte parcial.</t>
        </is>
      </c>
      <c r="G578" s="208" t="inlineStr">
        <is>
          <t>Fondos de origen lícito documentado.</t>
        </is>
      </c>
    </row>
    <row r="579" ht="18.75" customHeight="1" s="173">
      <c r="A579" s="208">
        <f>B579&amp;"-"&amp;C579</f>
        <v/>
      </c>
      <c r="B579" s="344" t="inlineStr">
        <is>
          <t>XII - FACILITADORES: Solución de controversias</t>
        </is>
      </c>
      <c r="C579" s="345" t="n">
        <v>24</v>
      </c>
      <c r="D579" s="208" t="inlineStr">
        <is>
          <t>Destino de los recursos</t>
        </is>
      </c>
      <c r="E579" s="208" t="inlineStr">
        <is>
          <t>Pagos dirigidos a terceros o al exterior sin justificación clara.</t>
        </is>
      </c>
      <c r="F579" s="208" t="inlineStr">
        <is>
          <t>Destino de los pagos parcialmente justificado.</t>
        </is>
      </c>
      <c r="G579" s="208" t="inlineStr">
        <is>
          <t>Destino de los pagos claro y documentado.</t>
        </is>
      </c>
    </row>
    <row r="580" ht="18.75" customHeight="1" s="173">
      <c r="A580" s="208">
        <f>B580&amp;"-"&amp;C580</f>
        <v/>
      </c>
      <c r="B580" s="344" t="inlineStr">
        <is>
          <t>XII - FACILITADORES: Solución de controversias</t>
        </is>
      </c>
      <c r="C580" s="345" t="n">
        <v>25</v>
      </c>
      <c r="D580" s="208" t="inlineStr">
        <is>
          <t>Canales e instrumentos idóneos para el financiamiento al terrorismo</t>
        </is>
      </c>
      <c r="E580" s="208" t="inlineStr">
        <is>
          <t>La operación se realiza mediante sesiones a distancia sin verificación de identidad y pagos en efectivo, es decir, medios que permiten mover valor en montos pequeños sin identificar al destinatario final.</t>
        </is>
      </c>
      <c r="F580" s="208" t="inlineStr">
        <is>
          <t>Canal mixto o con verificación parcial: hay registro de la operación pero la trazabilidad del destinatario final es incompleta.</t>
        </is>
      </c>
      <c r="G580" s="208" t="inlineStr">
        <is>
          <t>Sesiones con partes identificadas y cumplimiento del convenio por transferencia, con trazabilidad completa del origen y del destinatario.</t>
        </is>
      </c>
    </row>
    <row r="581" ht="18.75" customHeight="1" s="173">
      <c r="A581" s="208">
        <f>B581&amp;"-"&amp;C581</f>
        <v/>
      </c>
      <c r="B581" s="344" t="inlineStr">
        <is>
          <t>XIII - Recepción de donativos</t>
        </is>
      </c>
      <c r="C581" s="345" t="n">
        <v>1</v>
      </c>
      <c r="D581" s="208" t="inlineStr">
        <is>
          <t>Valor del producto o servicio</t>
        </is>
      </c>
      <c r="E581" s="208" t="inlineStr">
        <is>
          <t>Donativos de gran valor económico, desproporcionados respecto al donante o a la asociación.</t>
        </is>
      </c>
      <c r="F581" s="208" t="inlineStr">
        <is>
          <t>Donativos de valor intermedio acordes al perfil.</t>
        </is>
      </c>
      <c r="G581" s="208" t="inlineStr">
        <is>
          <t>Donativos de bajo valor, frecuentes en asociaciones pequeñas.</t>
        </is>
      </c>
    </row>
    <row r="582" ht="18.75" customHeight="1" s="173">
      <c r="A582" s="208">
        <f>B582&amp;"-"&amp;C582</f>
        <v/>
      </c>
      <c r="B582" s="344" t="inlineStr">
        <is>
          <t>XIII - Recepción de donativos</t>
        </is>
      </c>
      <c r="C582" s="345" t="n">
        <v>2</v>
      </c>
      <c r="D582" s="208" t="inlineStr">
        <is>
          <t>Liquidez / convertibilidad</t>
        </is>
      </c>
      <c r="E582" s="208" t="inlineStr">
        <is>
          <t>Donativos en efectivo o especie de fácil conversión a liquidez.</t>
        </is>
      </c>
      <c r="F582" s="208" t="inlineStr">
        <is>
          <t>Donativos con conversión parcial o sujeta a destino.</t>
        </is>
      </c>
      <c r="G582" s="208" t="inlineStr">
        <is>
          <t>Donativos etiquetados a un fin, con baja convertibilidad.</t>
        </is>
      </c>
    </row>
    <row r="583" ht="18.75" customHeight="1" s="173">
      <c r="A583" s="208">
        <f>B583&amp;"-"&amp;C583</f>
        <v/>
      </c>
      <c r="B583" s="344" t="inlineStr">
        <is>
          <t>XIII - Recepción de donativos</t>
        </is>
      </c>
      <c r="C583" s="345" t="n">
        <v>3</v>
      </c>
      <c r="D583" s="208" t="inlineStr">
        <is>
          <t>Anonimato / identificación del beneficiario</t>
        </is>
      </c>
      <c r="E583" s="208" t="inlineStr">
        <is>
          <t>Donante anónimo o mediante tercero que oculta al aportante real.</t>
        </is>
      </c>
      <c r="F583" s="208" t="inlineStr">
        <is>
          <t>Donante identificado con soporte parcial de su identidad.</t>
        </is>
      </c>
      <c r="G583" s="208" t="inlineStr">
        <is>
          <t>Donante plenamente identificado y verificado.</t>
        </is>
      </c>
    </row>
    <row r="584" ht="18.75" customHeight="1" s="173">
      <c r="A584" s="208">
        <f>B584&amp;"-"&amp;C584</f>
        <v/>
      </c>
      <c r="B584" s="344" t="inlineStr">
        <is>
          <t>XIII - Recepción de donativos</t>
        </is>
      </c>
      <c r="C584" s="345" t="n">
        <v>4</v>
      </c>
      <c r="D584" s="208" t="inlineStr">
        <is>
          <t>Transferencia u ocultamiento de valor</t>
        </is>
      </c>
      <c r="E584" s="208" t="inlineStr">
        <is>
          <t>La asociación permite canalizar y estratificar fondos ilícitos o financiar terrorismo.</t>
        </is>
      </c>
      <c r="F584" s="208" t="inlineStr">
        <is>
          <t>Riesgo moderado de ocultamiento con donativos parcialmente trazables.</t>
        </is>
      </c>
      <c r="G584" s="208" t="inlineStr">
        <is>
          <t>Donativos bancarizados y trazables con destino documentado.</t>
        </is>
      </c>
    </row>
    <row r="585" ht="18.75" customHeight="1" s="173">
      <c r="A585" s="208">
        <f>B585&amp;"-"&amp;C585</f>
        <v/>
      </c>
      <c r="B585" s="344" t="inlineStr">
        <is>
          <t>XIII - Recepción de donativos</t>
        </is>
      </c>
      <c r="C585" s="345" t="n">
        <v>5</v>
      </c>
      <c r="D585" s="208" t="inlineStr">
        <is>
          <t>Exposición del acto u operación al financiamiento al terrorismo</t>
        </is>
      </c>
      <c r="E585" s="208" t="inlineStr">
        <is>
          <t>Donativos recibidos de o canalizados hacia personas, asociaciones o programas vinculados con organizaciones señaladas en listas, o ejecutados en zonas con presencia de grupos terroristas. Es el sector señalado como de mayor exposición al financiamiento al terrorismo.</t>
        </is>
      </c>
      <c r="F585" s="208" t="inlineStr">
        <is>
          <t>Donativos del extranjero o programas ejecutados en zonas de riesgo, con destino parcialmente documentado y sin coincidencias en listas.</t>
        </is>
      </c>
      <c r="G585" s="208" t="inlineStr">
        <is>
          <t>Donante identificado, donativo bancarizado y destino de los recursos documentado y ejecutado en territorio nacional.</t>
        </is>
      </c>
    </row>
    <row r="586" ht="18.75" customHeight="1" s="173">
      <c r="A586" s="208">
        <f>B586&amp;"-"&amp;C586</f>
        <v/>
      </c>
      <c r="B586" s="344" t="inlineStr">
        <is>
          <t>XIII - Recepción de donativos</t>
        </is>
      </c>
      <c r="C586" s="345" t="n">
        <v>6</v>
      </c>
      <c r="D586" s="208" t="inlineStr">
        <is>
          <t>Tipo de persona y estructura</t>
        </is>
      </c>
      <c r="E586" s="208" t="inlineStr">
        <is>
          <t>Donante persona moral extranjera, fundación offshore o estructura opaca.</t>
        </is>
      </c>
      <c r="F586" s="208" t="inlineStr">
        <is>
          <t>Donante persona moral nacional con estructura clara.</t>
        </is>
      </c>
      <c r="G586" s="208" t="inlineStr">
        <is>
          <t>Donante persona física plenamente identificado.</t>
        </is>
      </c>
    </row>
    <row r="587" ht="18.75" customHeight="1" s="173">
      <c r="A587" s="208">
        <f>B587&amp;"-"&amp;C587</f>
        <v/>
      </c>
      <c r="B587" s="344" t="inlineStr">
        <is>
          <t>XIII - Recepción de donativos</t>
        </is>
      </c>
      <c r="C587" s="345" t="n">
        <v>7</v>
      </c>
      <c r="D587" s="208" t="inlineStr">
        <is>
          <t>Edad / fecha de constitución</t>
        </is>
      </c>
      <c r="E587" s="208" t="inlineStr">
        <is>
          <t>Donante empresa de reciente creación o asociación receptora sin historial operativo.</t>
        </is>
      </c>
      <c r="F587" s="208" t="inlineStr">
        <is>
          <t>Entidad con antigüedad moderada.</t>
        </is>
      </c>
      <c r="G587" s="208" t="inlineStr">
        <is>
          <t>Donante o asociación con trayectoria acreditable.</t>
        </is>
      </c>
    </row>
    <row r="588" ht="18.75" customHeight="1" s="173">
      <c r="A588" s="208">
        <f>B588&amp;"-"&amp;C588</f>
        <v/>
      </c>
      <c r="B588" s="344" t="inlineStr">
        <is>
          <t>XIII - Recepción de donativos</t>
        </is>
      </c>
      <c r="C588" s="345" t="n">
        <v>8</v>
      </c>
      <c r="D588" s="208" t="inlineStr">
        <is>
          <t>Actividad económica o giro (y fuente de ingresos)</t>
        </is>
      </c>
      <c r="E588" s="208" t="inlineStr">
        <is>
          <t>Donante con giro informal, uso intensivo de efectivo o ligado a otras AV.</t>
        </is>
      </c>
      <c r="F588" s="208" t="inlineStr">
        <is>
          <t>Donante con giro formal y manejo parcial de efectivo.</t>
        </is>
      </c>
      <c r="G588" s="208" t="inlineStr">
        <is>
          <t>Donante con giro formal e ingresos documentados.</t>
        </is>
      </c>
    </row>
    <row r="589" ht="18.75" customHeight="1" s="173">
      <c r="A589" s="208">
        <f>B589&amp;"-"&amp;C589</f>
        <v/>
      </c>
      <c r="B589" s="344" t="inlineStr">
        <is>
          <t>XIII - Recepción de donativos</t>
        </is>
      </c>
      <c r="C589" s="345" t="n">
        <v>9</v>
      </c>
      <c r="D589" s="208" t="inlineStr">
        <is>
          <t>Nacionalidad del cliente</t>
        </is>
      </c>
      <c r="E589" s="208" t="inlineStr">
        <is>
          <t>Nacionalidad del donante en listas GAFI, sancionado o régimen fiscal preferente.</t>
        </is>
      </c>
      <c r="F589" s="208" t="inlineStr">
        <is>
          <t>Nacionalidad de país sin deficiencias relevantes en PLD.</t>
        </is>
      </c>
      <c r="G589" s="208" t="inlineStr">
        <is>
          <t>Nacionalidad mexicana o de país con controles PLD robustos.</t>
        </is>
      </c>
    </row>
    <row r="590" ht="18.75" customHeight="1" s="173">
      <c r="A590" s="208">
        <f>B590&amp;"-"&amp;C590</f>
        <v/>
      </c>
      <c r="B590" s="344" t="inlineStr">
        <is>
          <t>XIII - Recepción de donativos</t>
        </is>
      </c>
      <c r="C590" s="345" t="n">
        <v>10</v>
      </c>
      <c r="D590" s="208" t="inlineStr">
        <is>
          <t>País (y en su caso, estado) de residencia del cliente</t>
        </is>
      </c>
      <c r="E590" s="208" t="inlineStr">
        <is>
          <t>Residencia del donante en jurisdicción de alto riesgo o no verificable.</t>
        </is>
      </c>
      <c r="F590" s="208" t="inlineStr">
        <is>
          <t>Residencia verificable en jurisdicción de riesgo medio.</t>
        </is>
      </c>
      <c r="G590" s="208" t="inlineStr">
        <is>
          <t>Residencia nacional comprobable y estable.</t>
        </is>
      </c>
    </row>
    <row r="591" ht="18.75" customHeight="1" s="173">
      <c r="A591" s="208">
        <f>B591&amp;"-"&amp;C591</f>
        <v/>
      </c>
      <c r="B591" s="344" t="inlineStr">
        <is>
          <t>XIII - Recepción de donativos</t>
        </is>
      </c>
      <c r="C591" s="345" t="n">
        <v>11</v>
      </c>
      <c r="D591" s="208" t="inlineStr">
        <is>
          <t>Condición PEP</t>
        </is>
      </c>
      <c r="E591" s="208" t="inlineStr">
        <is>
          <t>Donante PEP nacional o extranjera, o allegado a PEP.</t>
        </is>
      </c>
      <c r="F591" s="208" t="inlineStr">
        <is>
          <t>Vínculo indirecto o lejano con PEP.</t>
        </is>
      </c>
      <c r="G591" s="208" t="inlineStr">
        <is>
          <t>Sin condición ni vínculo PEP.</t>
        </is>
      </c>
    </row>
    <row r="592" ht="18.75" customHeight="1" s="173">
      <c r="A592" s="208">
        <f>B592&amp;"-"&amp;C592</f>
        <v/>
      </c>
      <c r="B592" s="344" t="inlineStr">
        <is>
          <t>XIII - Recepción de donativos</t>
        </is>
      </c>
      <c r="C592" s="345" t="n">
        <v>12</v>
      </c>
      <c r="D592" s="208" t="inlineStr">
        <is>
          <t>Coincidencia en listas de personas bloqueadas o de sanciones</t>
        </is>
      </c>
      <c r="E592" s="208" t="inlineStr">
        <is>
          <t>El donante, su beneficiario controlador, apoderado o contraparte aparece en la Lista de Personas Bloqueadas, en listas de sanciones o en listas de organizaciones terroristas, o presenta una coincidencia fuerte que no ha sido descartada.</t>
        </is>
      </c>
      <c r="F592" s="208" t="inlineStr">
        <is>
          <t>Se detecta coincidencia parcial u homonimia respecto del donante o de alguna persona relacionada, y el descarte se encuentra en proceso con constancia documental.</t>
        </is>
      </c>
      <c r="G592" s="208" t="inlineStr">
        <is>
          <t>Búsqueda realizada y documentada sobre el donante y sus personas relacionadas, sin coincidencias.</t>
        </is>
      </c>
    </row>
    <row r="593" ht="18.75" customHeight="1" s="173">
      <c r="A593" s="208">
        <f>B593&amp;"-"&amp;C593</f>
        <v/>
      </c>
      <c r="B593" s="344" t="inlineStr">
        <is>
          <t>XIII - Recepción de donativos</t>
        </is>
      </c>
      <c r="C593" s="345" t="n">
        <v>13</v>
      </c>
      <c r="D593" s="208" t="inlineStr">
        <is>
          <t>Identificación y complejidad del Beneficiario Controlador</t>
        </is>
      </c>
      <c r="E593" s="208" t="inlineStr">
        <is>
          <t>No se logra identificar al beneficiario controlador del donante, o la estructura interpone dos o más niveles societarios, fiduciarios o vehículos constituidos en el extranjero para llegar al 25 por ciento.</t>
        </is>
      </c>
      <c r="F593" s="208" t="inlineStr">
        <is>
          <t>Beneficiario controlador identificado, pero a través de una estructura de más de un nivel o con participación indirecta que exigió reconstruir la cadena de control con documentos.</t>
        </is>
      </c>
      <c r="G593" s="208" t="inlineStr">
        <is>
          <t>Beneficiario controlador identificado de forma directa y documentada: persona física que posee al menos el 25 por ciento o que ejerce el control por otra vía acreditada.</t>
        </is>
      </c>
    </row>
    <row r="594" ht="18.75" customHeight="1" s="173">
      <c r="A594" s="208">
        <f>B594&amp;"-"&amp;C594</f>
        <v/>
      </c>
      <c r="B594" s="344" t="inlineStr">
        <is>
          <t>XIII - Recepción de donativos</t>
        </is>
      </c>
      <c r="C594" s="345" t="n">
        <v>14</v>
      </c>
      <c r="D594" s="208" t="inlineStr">
        <is>
          <t>País / jurisdicción donde se realiza la operación</t>
        </is>
      </c>
      <c r="E594" s="208" t="inlineStr">
        <is>
          <t>Donativo transfronterizo desde o hacia jurisdicción de alto riesgo o zona de conflicto.</t>
        </is>
      </c>
      <c r="F594" s="208" t="inlineStr">
        <is>
          <t>Donativo internacional de riesgo medio.</t>
        </is>
      </c>
      <c r="G594" s="208" t="inlineStr">
        <is>
          <t>Donativo de origen y destino nacional.</t>
        </is>
      </c>
    </row>
    <row r="595" ht="18.75" customHeight="1" s="173">
      <c r="A595" s="208">
        <f>B595&amp;"-"&amp;C595</f>
        <v/>
      </c>
      <c r="B595" s="344" t="inlineStr">
        <is>
          <t>XIII - Recepción de donativos</t>
        </is>
      </c>
      <c r="C595" s="345" t="n">
        <v>15</v>
      </c>
      <c r="D595" s="208" t="inlineStr">
        <is>
          <t>Área geográfica nacional de la operación</t>
        </is>
      </c>
      <c r="E595" s="208" t="inlineStr">
        <is>
          <t>Asociación opera o distribuye en zona de alta incidencia delictiva, marginación o frontera.</t>
        </is>
      </c>
      <c r="F595" s="208" t="inlineStr">
        <is>
          <t>Zona de operación de riesgo intermedio.</t>
        </is>
      </c>
      <c r="G595" s="208" t="inlineStr">
        <is>
          <t>Zona de baja incidencia delictiva y buena trazabilidad.</t>
        </is>
      </c>
    </row>
    <row r="596" ht="18.75" customHeight="1" s="173">
      <c r="A596" s="208">
        <f>B596&amp;"-"&amp;C596</f>
        <v/>
      </c>
      <c r="B596" s="344" t="inlineStr">
        <is>
          <t>XIII - Recepción de donativos</t>
        </is>
      </c>
      <c r="C596" s="345" t="n">
        <v>16</v>
      </c>
      <c r="D596" s="208" t="inlineStr">
        <is>
          <t>Vínculo con jurisdicciones sancionadas, en conflicto o de acción requerida por el GAFI</t>
        </is>
      </c>
      <c r="E596" s="208" t="inlineStr">
        <is>
          <t>Existe exposición a jurisdicciones sancionadas, en conflicto armado o de acción requerida del GAFI, por la vía de donativos recibidos del extranjero o programas ejecutados fuera del país.</t>
        </is>
      </c>
      <c r="F596" s="208" t="inlineStr">
        <is>
          <t>Vínculo con jurisdicciones bajo monitoreo intensificado del GAFI o con deficiencias señaladas en la ENR, sin estar sancionadas ni en conflicto.</t>
        </is>
      </c>
      <c r="G596" s="208" t="inlineStr">
        <is>
          <t>Sin vínculo con jurisdicciones sancionadas, en conflicto o listadas por el GAFI; la operación y sus partes se ubican en plazas sin señalamientos.</t>
        </is>
      </c>
    </row>
    <row r="597" ht="18.75" customHeight="1" s="173">
      <c r="A597" s="208">
        <f>B597&amp;"-"&amp;C597</f>
        <v/>
      </c>
      <c r="B597" s="344" t="inlineStr">
        <is>
          <t>XIII - Recepción de donativos</t>
        </is>
      </c>
      <c r="C597" s="345" t="n">
        <v>17</v>
      </c>
      <c r="D597" s="208" t="inlineStr">
        <is>
          <t>Congruencia entre el domicilio del Cliente y el lugar de la operación</t>
        </is>
      </c>
      <c r="E597" s="208" t="inlineStr">
        <is>
          <t>El domicilio del donante no guarda relación económica ni logística con el lugar donde se realiza la recepción del donativo, y no existe explicación documentada del desplazamiento.</t>
        </is>
      </c>
      <c r="F597" s="208" t="inlineStr">
        <is>
          <t>Existe distancia relevante entre el domicilio del donante y el lugar de la operación, con explicación plausible pero no soportada en el expediente.</t>
        </is>
      </c>
      <c r="G597" s="208" t="inlineStr">
        <is>
          <t>El domicilio del donante corresponde a la plaza donde se realiza la recepción del donativo, o el desplazamiento está justificado y documentado.</t>
        </is>
      </c>
    </row>
    <row r="598" ht="18.75" customHeight="1" s="173">
      <c r="A598" s="208">
        <f>B598&amp;"-"&amp;C598</f>
        <v/>
      </c>
      <c r="B598" s="344" t="inlineStr">
        <is>
          <t>XIII - Recepción de donativos</t>
        </is>
      </c>
      <c r="C598" s="345" t="n">
        <v>18</v>
      </c>
      <c r="D598" s="208" t="inlineStr">
        <is>
          <t>Instrumento monetario</t>
        </is>
      </c>
      <c r="E598" s="208" t="inlineStr">
        <is>
          <t>Donativo en efectivo, instrumentos al portador o criptoactivos.</t>
        </is>
      </c>
      <c r="F598" s="208" t="inlineStr">
        <is>
          <t>Donativos mixtos con efectivo parcial y transferencias.</t>
        </is>
      </c>
      <c r="G598" s="208" t="inlineStr">
        <is>
          <t>Donativo íntegro por transferencia bancaria.</t>
        </is>
      </c>
    </row>
    <row r="599" ht="18.75" customHeight="1" s="173">
      <c r="A599" s="208">
        <f>B599&amp;"-"&amp;C599</f>
        <v/>
      </c>
      <c r="B599" s="344" t="inlineStr">
        <is>
          <t>XIII - Recepción de donativos</t>
        </is>
      </c>
      <c r="C599" s="345" t="n">
        <v>19</v>
      </c>
      <c r="D599" s="208" t="inlineStr">
        <is>
          <t>Tipo de moneda</t>
        </is>
      </c>
      <c r="E599" s="208" t="inlineStr">
        <is>
          <t>Donativo en moneda extranjera distinta al USD o en criptomonedas.</t>
        </is>
      </c>
      <c r="F599" s="208" t="inlineStr">
        <is>
          <t>Donativo en USD con soporte documental.</t>
        </is>
      </c>
      <c r="G599" s="208" t="inlineStr">
        <is>
          <t>Donativo en pesos mexicanos.</t>
        </is>
      </c>
    </row>
    <row r="600" ht="18.75" customHeight="1" s="173">
      <c r="A600" s="208">
        <f>B600&amp;"-"&amp;C600</f>
        <v/>
      </c>
      <c r="B600" s="344" t="inlineStr">
        <is>
          <t>XIII - Recepción de donativos</t>
        </is>
      </c>
      <c r="C600" s="345" t="n">
        <v>20</v>
      </c>
      <c r="D600" s="208" t="inlineStr">
        <is>
          <t>Monto frente a umbrales LFPIORPI</t>
        </is>
      </c>
      <c r="E600" s="208" t="inlineStr">
        <is>
          <t>Monto del donativo supera ampliamente el umbral de aviso (3,210 UMA).</t>
        </is>
      </c>
      <c r="F600" s="208" t="inlineStr">
        <is>
          <t>Monto cercano al umbral de aviso sin superarlo.</t>
        </is>
      </c>
      <c r="G600" s="208" t="inlineStr">
        <is>
          <t>Monto muy por debajo del umbral de aviso.</t>
        </is>
      </c>
    </row>
    <row r="601" ht="18.75" customHeight="1" s="173">
      <c r="A601" s="208">
        <f>B601&amp;"-"&amp;C601</f>
        <v/>
      </c>
      <c r="B601" s="344" t="inlineStr">
        <is>
          <t>XIII - Recepción de donativos</t>
        </is>
      </c>
      <c r="C601" s="345" t="n">
        <v>21</v>
      </c>
      <c r="D601" s="208" t="inlineStr">
        <is>
          <t>Frecuencia (fraccionamiento)</t>
        </is>
      </c>
      <c r="E601" s="208" t="inlineStr">
        <is>
          <t>Donativos frecuentes o fraccionados del mismo donante para eludir umbrales.</t>
        </is>
      </c>
      <c r="F601" s="208" t="inlineStr">
        <is>
          <t>Donativos periódicos con justificación del donante.</t>
        </is>
      </c>
      <c r="G601" s="208" t="inlineStr">
        <is>
          <t>Donativo único o esporádico sin fraccionamiento.</t>
        </is>
      </c>
    </row>
    <row r="602" ht="18.75" customHeight="1" s="173">
      <c r="A602" s="208">
        <f>B602&amp;"-"&amp;C602</f>
        <v/>
      </c>
      <c r="B602" s="344" t="inlineStr">
        <is>
          <t>XIII - Recepción de donativos</t>
        </is>
      </c>
      <c r="C602" s="345" t="n">
        <v>22</v>
      </c>
      <c r="D602" s="208" t="inlineStr">
        <is>
          <t>Canal (presencial / no presencial / terceros)</t>
        </is>
      </c>
      <c r="E602" s="208" t="inlineStr">
        <is>
          <t>Donativo no presencial o vía terceros sin contacto directo con el donante.</t>
        </is>
      </c>
      <c r="F602" s="208" t="inlineStr">
        <is>
          <t>Contacto parcial o intermediación documentada.</t>
        </is>
      </c>
      <c r="G602" s="208" t="inlineStr">
        <is>
          <t>Donativo con identificación directa del donante.</t>
        </is>
      </c>
    </row>
    <row r="603" ht="18.75" customHeight="1" s="173">
      <c r="A603" s="208">
        <f>B603&amp;"-"&amp;C603</f>
        <v/>
      </c>
      <c r="B603" s="344" t="inlineStr">
        <is>
          <t>XIII - Recepción de donativos</t>
        </is>
      </c>
      <c r="C603" s="345" t="n">
        <v>23</v>
      </c>
      <c r="D603" s="208" t="inlineStr">
        <is>
          <t>Origen de los recursos</t>
        </is>
      </c>
      <c r="E603" s="208" t="inlineStr">
        <is>
          <t>Origen de los recursos donados no acreditable, en efectivo o informal.</t>
        </is>
      </c>
      <c r="F603" s="208" t="inlineStr">
        <is>
          <t>Origen parcialmente documentado con soporte incompleto.</t>
        </is>
      </c>
      <c r="G603" s="208" t="inlineStr">
        <is>
          <t>Origen del donativo acreditado documentalmente.</t>
        </is>
      </c>
    </row>
    <row r="604" ht="18.75" customHeight="1" s="173">
      <c r="A604" s="208">
        <f>B604&amp;"-"&amp;C604</f>
        <v/>
      </c>
      <c r="B604" s="344" t="inlineStr">
        <is>
          <t>XIII - Recepción de donativos</t>
        </is>
      </c>
      <c r="C604" s="345" t="n">
        <v>24</v>
      </c>
      <c r="D604" s="208" t="inlineStr">
        <is>
          <t>Destino de los recursos</t>
        </is>
      </c>
      <c r="E604" s="208" t="inlineStr">
        <is>
          <t>Destino de los donativos opaco, hacia terceros o al exterior sin relación con el objeto social.</t>
        </is>
      </c>
      <c r="F604" s="208" t="inlineStr">
        <is>
          <t>Destino declarado con justificación parcial.</t>
        </is>
      </c>
      <c r="G604" s="208" t="inlineStr">
        <is>
          <t>Destino aplicado al objeto social con trazabilidad plena.</t>
        </is>
      </c>
    </row>
    <row r="605" ht="18.75" customHeight="1" s="173">
      <c r="A605" s="208">
        <f>B605&amp;"-"&amp;C605</f>
        <v/>
      </c>
      <c r="B605" s="344" t="inlineStr">
        <is>
          <t>XIII - Recepción de donativos</t>
        </is>
      </c>
      <c r="C605" s="345" t="n">
        <v>25</v>
      </c>
      <c r="D605" s="208" t="inlineStr">
        <is>
          <t>Canales e instrumentos idóneos para el financiamiento al terrorismo</t>
        </is>
      </c>
      <c r="E605" s="208" t="inlineStr">
        <is>
          <t>La operación se realiza mediante colecta en línea o en efectivo sin identificación del donante y entrega a beneficiarios no acreditados, es decir, medios que permiten mover valor en montos pequeños sin identificar al destinatario final.</t>
        </is>
      </c>
      <c r="F605" s="208" t="inlineStr">
        <is>
          <t>Canal mixto o con verificación parcial: hay registro de la operación pero la trazabilidad del destinatario final es incompleta.</t>
        </is>
      </c>
      <c r="G605" s="208" t="inlineStr">
        <is>
          <t>Donativo recibido por transferencia de donante identificado, con destino documentado, con trazabilidad completa del origen y del destinatario.</t>
        </is>
      </c>
    </row>
    <row r="606" ht="18.75" customHeight="1" s="173">
      <c r="A606" s="208">
        <f>B606&amp;"-"&amp;C606</f>
        <v/>
      </c>
      <c r="B606" s="344" t="inlineStr">
        <is>
          <t>XIV - CEXT: Joyas, metales, piedras preciosas</t>
        </is>
      </c>
      <c r="C606" s="345" t="n">
        <v>1</v>
      </c>
      <c r="D606" s="208" t="inlineStr">
        <is>
          <t>Valor del producto o servicio</t>
        </is>
      </c>
      <c r="E606" s="208" t="inlineStr">
        <is>
          <t>Piezas de alto valor en operación de comercio exterior.</t>
        </is>
      </c>
      <c r="F606" s="208" t="inlineStr">
        <is>
          <t>Joyería o metales de valor intermedio.</t>
        </is>
      </c>
      <c r="G606" s="208" t="inlineStr">
        <is>
          <t>Bienes de bajo valor con documentación aduanera completa.</t>
        </is>
      </c>
    </row>
    <row r="607" ht="18.75" customHeight="1" s="173">
      <c r="A607" s="208">
        <f>B607&amp;"-"&amp;C607</f>
        <v/>
      </c>
      <c r="B607" s="344" t="inlineStr">
        <is>
          <t>XIV - CEXT: Joyas, metales, piedras preciosas</t>
        </is>
      </c>
      <c r="C607" s="345" t="n">
        <v>2</v>
      </c>
      <c r="D607" s="208" t="inlineStr">
        <is>
          <t>Liquidez / convertibilidad</t>
        </is>
      </c>
      <c r="E607" s="208" t="inlineStr">
        <is>
          <t>Bien de altísima liquidez transfronteriza, fácil de convertir a efectivo.</t>
        </is>
      </c>
      <c r="F607" s="208" t="inlineStr">
        <is>
          <t>Revendible con menor liquidez y trazabilidad parcial.</t>
        </is>
      </c>
      <c r="G607" s="208" t="inlineStr">
        <is>
          <t>Baja reventa y mercado internacional limitado.</t>
        </is>
      </c>
    </row>
    <row r="608" ht="18.75" customHeight="1" s="173">
      <c r="A608" s="208">
        <f>B608&amp;"-"&amp;C608</f>
        <v/>
      </c>
      <c r="B608" s="344" t="inlineStr">
        <is>
          <t>XIV - CEXT: Joyas, metales, piedras preciosas</t>
        </is>
      </c>
      <c r="C608" s="345" t="n">
        <v>3</v>
      </c>
      <c r="D608" s="208" t="inlineStr">
        <is>
          <t>Anonimato / identificación del beneficiario</t>
        </is>
      </c>
      <c r="E608" s="208" t="inlineStr">
        <is>
          <t>Importador/exportador que oculta al beneficiario final tras intermediarios.</t>
        </is>
      </c>
      <c r="F608" s="208" t="inlineStr">
        <is>
          <t>Identificación básica sin verificar al beneficiario final.</t>
        </is>
      </c>
      <c r="G608" s="208" t="inlineStr">
        <is>
          <t>Beneficiario final plenamente identificado y verificado.</t>
        </is>
      </c>
    </row>
    <row r="609" ht="18.75" customHeight="1" s="173">
      <c r="A609" s="208">
        <f>B609&amp;"-"&amp;C609</f>
        <v/>
      </c>
      <c r="B609" s="344" t="inlineStr">
        <is>
          <t>XIV - CEXT: Joyas, metales, piedras preciosas</t>
        </is>
      </c>
      <c r="C609" s="345" t="n">
        <v>4</v>
      </c>
      <c r="D609" s="208" t="inlineStr">
        <is>
          <t>Transferencia u ocultamiento de valor</t>
        </is>
      </c>
      <c r="E609" s="208" t="inlineStr">
        <is>
          <t>Comercio exterior usado para mover y ocultar valor entre fronteras.</t>
        </is>
      </c>
      <c r="F609" s="208" t="inlineStr">
        <is>
          <t>Facilita ocultamiento parcial de valor en la cadena aduanera.</t>
        </is>
      </c>
      <c r="G609" s="208" t="inlineStr">
        <is>
          <t>Operación trazable y documentada que dificulta el ocultamiento.</t>
        </is>
      </c>
    </row>
    <row r="610" ht="18.75" customHeight="1" s="173">
      <c r="A610" s="208">
        <f>B610&amp;"-"&amp;C610</f>
        <v/>
      </c>
      <c r="B610" s="344" t="inlineStr">
        <is>
          <t>XIV - CEXT: Joyas, metales, piedras preciosas</t>
        </is>
      </c>
      <c r="C610" s="345" t="n">
        <v>5</v>
      </c>
      <c r="D610" s="208" t="inlineStr">
        <is>
          <t>Exposición del acto u operación al financiamiento al terrorismo</t>
        </is>
      </c>
      <c r="E610" s="208" t="inlineStr">
        <is>
          <t>Comercio exterior de bienes de alto valor y fácil ocultamiento con origen o destino en jurisdicciones sancionadas, en conflicto o con presencia de organizaciones terroristas.</t>
        </is>
      </c>
      <c r="F610" s="208" t="inlineStr">
        <is>
          <t>Contrapartes en jurisdicciones de monitoreo intensificado o triangulación poco clara, sin coincidencias en listas.</t>
        </is>
      </c>
      <c r="G610" s="208" t="inlineStr">
        <is>
          <t>Contrapartes identificadas en jurisdicciones sin señalamientos, con documentación aduanera completa.</t>
        </is>
      </c>
    </row>
    <row r="611" ht="18.75" customHeight="1" s="173">
      <c r="A611" s="208">
        <f>B611&amp;"-"&amp;C611</f>
        <v/>
      </c>
      <c r="B611" s="344" t="inlineStr">
        <is>
          <t>XIV - CEXT: Joyas, metales, piedras preciosas</t>
        </is>
      </c>
      <c r="C611" s="345" t="n">
        <v>6</v>
      </c>
      <c r="D611" s="208" t="inlineStr">
        <is>
          <t>Tipo de persona y estructura</t>
        </is>
      </c>
      <c r="E611" s="208" t="inlineStr">
        <is>
          <t>Persona moral extranjera, fideicomiso o estructura opaca.</t>
        </is>
      </c>
      <c r="F611" s="208" t="inlineStr">
        <is>
          <t>Persona moral nacional con estructura de control simple.</t>
        </is>
      </c>
      <c r="G611" s="208" t="inlineStr">
        <is>
          <t>Persona física identificada o empresa transparente.</t>
        </is>
      </c>
    </row>
    <row r="612" ht="18.75" customHeight="1" s="173">
      <c r="A612" s="208">
        <f>B612&amp;"-"&amp;C612</f>
        <v/>
      </c>
      <c r="B612" s="344" t="inlineStr">
        <is>
          <t>XIV - CEXT: Joyas, metales, piedras preciosas</t>
        </is>
      </c>
      <c r="C612" s="345" t="n">
        <v>7</v>
      </c>
      <c r="D612" s="208" t="inlineStr">
        <is>
          <t>Edad / fecha de constitución</t>
        </is>
      </c>
      <c r="E612" s="208" t="inlineStr">
        <is>
          <t>Contraparte muy joven atípica o empresa de reciente creación.</t>
        </is>
      </c>
      <c r="F612" s="208" t="inlineStr">
        <is>
          <t>Antigüedad intermedia sin historial de comercio exterior consolidado.</t>
        </is>
      </c>
      <c r="G612" s="208" t="inlineStr">
        <is>
          <t>Empresa con trayectoria e historial aduanero acreditado.</t>
        </is>
      </c>
    </row>
    <row r="613" ht="18.75" customHeight="1" s="173">
      <c r="A613" s="208">
        <f>B613&amp;"-"&amp;C613</f>
        <v/>
      </c>
      <c r="B613" s="344" t="inlineStr">
        <is>
          <t>XIV - CEXT: Joyas, metales, piedras preciosas</t>
        </is>
      </c>
      <c r="C613" s="345" t="n">
        <v>8</v>
      </c>
      <c r="D613" s="208" t="inlineStr">
        <is>
          <t>Actividad económica o giro (y fuente de ingresos)</t>
        </is>
      </c>
      <c r="E613" s="208" t="inlineStr">
        <is>
          <t>Giro informal, uso intensivo de efectivo o triangulación comercial.</t>
        </is>
      </c>
      <c r="F613" s="208" t="inlineStr">
        <is>
          <t>Comercio formal con componente de efectivo relevante.</t>
        </is>
      </c>
      <c r="G613" s="208" t="inlineStr">
        <is>
          <t>Empresa formal con operaciones bancarizadas y acreditadas.</t>
        </is>
      </c>
    </row>
    <row r="614" ht="18.75" customHeight="1" s="173">
      <c r="A614" s="208">
        <f>B614&amp;"-"&amp;C614</f>
        <v/>
      </c>
      <c r="B614" s="344" t="inlineStr">
        <is>
          <t>XIV - CEXT: Joyas, metales, piedras preciosas</t>
        </is>
      </c>
      <c r="C614" s="345" t="n">
        <v>9</v>
      </c>
      <c r="D614" s="208" t="inlineStr">
        <is>
          <t>Nacionalidad del cliente</t>
        </is>
      </c>
      <c r="E614" s="208" t="inlineStr">
        <is>
          <t>Cliente de país en listas GAFI, sancionado o de régimen fiscal preferente.</t>
        </is>
      </c>
      <c r="F614" s="208" t="inlineStr">
        <is>
          <t>Cliente extranjero de país sin deficiencias estratégicas pero con controles PLD limitados.</t>
        </is>
      </c>
      <c r="G614" s="208" t="inlineStr">
        <is>
          <t>Cliente mexicano o de país cooperante con marco PLD/FT sólido.</t>
        </is>
      </c>
    </row>
    <row r="615" ht="18.75" customHeight="1" s="173">
      <c r="A615" s="208">
        <f>B615&amp;"-"&amp;C615</f>
        <v/>
      </c>
      <c r="B615" s="344" t="inlineStr">
        <is>
          <t>XIV - CEXT: Joyas, metales, piedras preciosas</t>
        </is>
      </c>
      <c r="C615" s="345" t="n">
        <v>10</v>
      </c>
      <c r="D615" s="208" t="inlineStr">
        <is>
          <t>País (y en su caso, estado) de residencia del cliente</t>
        </is>
      </c>
      <c r="E615" s="208" t="inlineStr">
        <is>
          <t>Residencia en jurisdicción de alto riesgo o domicilio no verificable.</t>
        </is>
      </c>
      <c r="F615" s="208" t="inlineStr">
        <is>
          <t>Residencia en entidad de riesgo intermedio o parcialmente verificable.</t>
        </is>
      </c>
      <c r="G615" s="208" t="inlineStr">
        <is>
          <t>Residencia nacional plenamente verificada y documentada.</t>
        </is>
      </c>
    </row>
    <row r="616" ht="18.75" customHeight="1" s="173">
      <c r="A616" s="208">
        <f>B616&amp;"-"&amp;C616</f>
        <v/>
      </c>
      <c r="B616" s="344" t="inlineStr">
        <is>
          <t>XIV - CEXT: Joyas, metales, piedras preciosas</t>
        </is>
      </c>
      <c r="C616" s="345" t="n">
        <v>11</v>
      </c>
      <c r="D616" s="208" t="inlineStr">
        <is>
          <t>Condición PEP</t>
        </is>
      </c>
      <c r="E616" s="208" t="inlineStr">
        <is>
          <t>PEP nacional o extranjera, o familiar/allegado de PEP.</t>
        </is>
      </c>
      <c r="F616" s="208" t="inlineStr">
        <is>
          <t>Vínculo indirecto o histórico con PEP, sin poder de decisión actual.</t>
        </is>
      </c>
      <c r="G616" s="208" t="inlineStr">
        <is>
          <t>Cliente sin condición PEP ni relación con personas expuestas.</t>
        </is>
      </c>
    </row>
    <row r="617" ht="18.75" customHeight="1" s="173">
      <c r="A617" s="208">
        <f>B617&amp;"-"&amp;C617</f>
        <v/>
      </c>
      <c r="B617" s="344" t="inlineStr">
        <is>
          <t>XIV - CEXT: Joyas, metales, piedras preciosas</t>
        </is>
      </c>
      <c r="C617" s="345" t="n">
        <v>12</v>
      </c>
      <c r="D617" s="208" t="inlineStr">
        <is>
          <t>Coincidencia en listas de personas bloqueadas o de sanciones</t>
        </is>
      </c>
      <c r="E617" s="208" t="inlineStr">
        <is>
          <t>El importador o exportador, su beneficiario controlador, apoderado o contraparte aparece en la Lista de Personas Bloqueadas, en listas de sanciones o en listas de organizaciones terroristas, o presenta una coincidencia fuerte que no ha sido descartada.</t>
        </is>
      </c>
      <c r="F617" s="208" t="inlineStr">
        <is>
          <t>Se detecta coincidencia parcial u homonimia respecto del importador o exportador o de alguna persona relacionada, y el descarte se encuentra en proceso con constancia documental.</t>
        </is>
      </c>
      <c r="G617" s="208" t="inlineStr">
        <is>
          <t>Búsqueda realizada y documentada sobre el importador o exportador y sus personas relacionadas, sin coincidencias.</t>
        </is>
      </c>
    </row>
    <row r="618" ht="18.75" customHeight="1" s="173">
      <c r="A618" s="208">
        <f>B618&amp;"-"&amp;C618</f>
        <v/>
      </c>
      <c r="B618" s="344" t="inlineStr">
        <is>
          <t>XIV - CEXT: Joyas, metales, piedras preciosas</t>
        </is>
      </c>
      <c r="C618" s="345" t="n">
        <v>13</v>
      </c>
      <c r="D618" s="208" t="inlineStr">
        <is>
          <t>Identificación y complejidad del Beneficiario Controlador</t>
        </is>
      </c>
      <c r="E618" s="208" t="inlineStr">
        <is>
          <t>No se logra identificar al beneficiario controlador del importador o exportador, o la estructura interpone dos o más niveles societarios, fiduciarios o vehículos constituidos en el extranjero para llegar al 25 por ciento.</t>
        </is>
      </c>
      <c r="F618" s="208" t="inlineStr">
        <is>
          <t>Beneficiario controlador identificado, pero a través de una estructura de más de un nivel o con participación indirecta que exigió reconstruir la cadena de control con documentos.</t>
        </is>
      </c>
      <c r="G618" s="208" t="inlineStr">
        <is>
          <t>Beneficiario controlador identificado de forma directa y documentada: persona física que posee al menos el 25 por ciento o que ejerce el control por otra vía acreditada.</t>
        </is>
      </c>
    </row>
    <row r="619" ht="18.75" customHeight="1" s="173">
      <c r="A619" s="208">
        <f>B619&amp;"-"&amp;C619</f>
        <v/>
      </c>
      <c r="B619" s="344" t="inlineStr">
        <is>
          <t>XIV - CEXT: Joyas, metales, piedras preciosas</t>
        </is>
      </c>
      <c r="C619" s="345" t="n">
        <v>14</v>
      </c>
      <c r="D619" s="208" t="inlineStr">
        <is>
          <t>País / jurisdicción donde se realiza la operación</t>
        </is>
      </c>
      <c r="E619" s="208" t="inlineStr">
        <is>
          <t>Operación realizada con o desde jurisdicción de alto riesgo.</t>
        </is>
      </c>
      <c r="F619" s="208" t="inlineStr">
        <is>
          <t>Operación con contraparte en jurisdicción de riesgo intermedio.</t>
        </is>
      </c>
      <c r="G619" s="208" t="inlineStr">
        <is>
          <t>Operación nacional o con jurisdicción cooperante y transparente.</t>
        </is>
      </c>
    </row>
    <row r="620" ht="18.75" customHeight="1" s="173">
      <c r="A620" s="208">
        <f>B620&amp;"-"&amp;C620</f>
        <v/>
      </c>
      <c r="B620" s="344" t="inlineStr">
        <is>
          <t>XIV - CEXT: Joyas, metales, piedras preciosas</t>
        </is>
      </c>
      <c r="C620" s="345" t="n">
        <v>15</v>
      </c>
      <c r="D620" s="208" t="inlineStr">
        <is>
          <t>Área geográfica nacional de la operación</t>
        </is>
      </c>
      <c r="E620" s="208" t="inlineStr">
        <is>
          <t>Zona de alta incidencia delictiva, marginación o franja fronteriza.</t>
        </is>
      </c>
      <c r="F620" s="208" t="inlineStr">
        <is>
          <t>Zona urbana de riesgo intermedio sin alertas relevantes.</t>
        </is>
      </c>
      <c r="G620" s="208" t="inlineStr">
        <is>
          <t>Zona de baja incidencia con presencia institucional.</t>
        </is>
      </c>
    </row>
    <row r="621" ht="18.75" customHeight="1" s="173">
      <c r="A621" s="208">
        <f>B621&amp;"-"&amp;C621</f>
        <v/>
      </c>
      <c r="B621" s="344" t="inlineStr">
        <is>
          <t>XIV - CEXT: Joyas, metales, piedras preciosas</t>
        </is>
      </c>
      <c r="C621" s="345" t="n">
        <v>16</v>
      </c>
      <c r="D621" s="208" t="inlineStr">
        <is>
          <t>Vínculo con jurisdicciones sancionadas, en conflicto o de acción requerida por el GAFI</t>
        </is>
      </c>
      <c r="E621" s="208" t="inlineStr">
        <is>
          <t>Existe exposición a jurisdicciones sancionadas, en conflicto armado o de acción requerida del GAFI, por la vía de origen o destino de la mercancía en el extranjero, por definición de la operación.</t>
        </is>
      </c>
      <c r="F621" s="208" t="inlineStr">
        <is>
          <t>Vínculo con jurisdicciones bajo monitoreo intensificado del GAFI o con deficiencias señaladas en la ENR, sin estar sancionadas ni en conflicto.</t>
        </is>
      </c>
      <c r="G621" s="208" t="inlineStr">
        <is>
          <t>Sin vínculo con jurisdicciones sancionadas, en conflicto o listadas por el GAFI; la operación y sus partes se ubican en plazas sin señalamientos.</t>
        </is>
      </c>
    </row>
    <row r="622" ht="18.75" customHeight="1" s="173">
      <c r="A622" s="208">
        <f>B622&amp;"-"&amp;C622</f>
        <v/>
      </c>
      <c r="B622" s="344" t="inlineStr">
        <is>
          <t>XIV - CEXT: Joyas, metales, piedras preciosas</t>
        </is>
      </c>
      <c r="C622" s="345" t="n">
        <v>17</v>
      </c>
      <c r="D622" s="208" t="inlineStr">
        <is>
          <t>Congruencia entre el domicilio del Cliente y el lugar de la operación</t>
        </is>
      </c>
      <c r="E622" s="208" t="inlineStr">
        <is>
          <t>El domicilio del importador o exportador no guarda relación económica ni logística con el lugar donde se realiza la importación o exportación de la mercancía, y no existe explicación documentada del desplazamiento.</t>
        </is>
      </c>
      <c r="F622" s="208" t="inlineStr">
        <is>
          <t>Existe distancia relevante entre el domicilio del importador o exportador y el lugar de la operación, con explicación plausible pero no soportada en el expediente.</t>
        </is>
      </c>
      <c r="G622" s="208" t="inlineStr">
        <is>
          <t>El domicilio del importador o exportador corresponde a la plaza donde se realiza la importación o exportación de la mercancía, o el desplazamiento está justificado y documentado.</t>
        </is>
      </c>
    </row>
    <row r="623" ht="18.75" customHeight="1" s="173">
      <c r="A623" s="208">
        <f>B623&amp;"-"&amp;C623</f>
        <v/>
      </c>
      <c r="B623" s="344" t="inlineStr">
        <is>
          <t>XIV - CEXT: Joyas, metales, piedras preciosas</t>
        </is>
      </c>
      <c r="C623" s="345" t="n">
        <v>18</v>
      </c>
      <c r="D623" s="208" t="inlineStr">
        <is>
          <t>Instrumento monetario</t>
        </is>
      </c>
      <c r="E623" s="208" t="inlineStr">
        <is>
          <t>Pago en efectivo o instrumentos al portador.</t>
        </is>
      </c>
      <c r="F623" s="208" t="inlineStr">
        <is>
          <t>Pago mixto: efectivo combinado con transferencia.</t>
        </is>
      </c>
      <c r="G623" s="208" t="inlineStr">
        <is>
          <t>Pago íntegro a través del sistema financiero.</t>
        </is>
      </c>
    </row>
    <row r="624" ht="18.75" customHeight="1" s="173">
      <c r="A624" s="208">
        <f>B624&amp;"-"&amp;C624</f>
        <v/>
      </c>
      <c r="B624" s="344" t="inlineStr">
        <is>
          <t>XIV - CEXT: Joyas, metales, piedras preciosas</t>
        </is>
      </c>
      <c r="C624" s="345" t="n">
        <v>19</v>
      </c>
      <c r="D624" s="208" t="inlineStr">
        <is>
          <t>Tipo de moneda</t>
        </is>
      </c>
      <c r="E624" s="208" t="inlineStr">
        <is>
          <t>Operación en moneda extranjera distinta al USD o en criptomonedas.</t>
        </is>
      </c>
      <c r="F624" s="208" t="inlineStr">
        <is>
          <t>Operación pactada en dólares estadounidenses (USD).</t>
        </is>
      </c>
      <c r="G624" s="208" t="inlineStr">
        <is>
          <t>Operación pactada y liquidada en pesos mexicanos.</t>
        </is>
      </c>
    </row>
    <row r="625" ht="18.75" customHeight="1" s="173">
      <c r="A625" s="208">
        <f>B625&amp;"-"&amp;C625</f>
        <v/>
      </c>
      <c r="B625" s="344" t="inlineStr">
        <is>
          <t>XIV - CEXT: Joyas, metales, piedras preciosas</t>
        </is>
      </c>
      <c r="C625" s="345" t="n">
        <v>20</v>
      </c>
      <c r="D625" s="208" t="inlineStr">
        <is>
          <t>Monto frente a umbrales LFPIORPI</t>
        </is>
      </c>
      <c r="E625" s="208" t="inlineStr">
        <is>
          <t>Monto que supera el umbral de aviso de 485 UMA.</t>
        </is>
      </c>
      <c r="F625" s="208" t="inlineStr">
        <is>
          <t>Monto cercano al umbral de 485 UMA sin superarlo.</t>
        </is>
      </c>
      <c r="G625" s="208" t="inlineStr">
        <is>
          <t>Monto muy por debajo del umbral de 485 UMA.</t>
        </is>
      </c>
    </row>
    <row r="626" ht="18.75" customHeight="1" s="173">
      <c r="A626" s="208">
        <f>B626&amp;"-"&amp;C626</f>
        <v/>
      </c>
      <c r="B626" s="344" t="inlineStr">
        <is>
          <t>XIV - CEXT: Joyas, metales, piedras preciosas</t>
        </is>
      </c>
      <c r="C626" s="345" t="n">
        <v>21</v>
      </c>
      <c r="D626" s="208" t="inlineStr">
        <is>
          <t>Frecuencia (fraccionamiento)</t>
        </is>
      </c>
      <c r="E626" s="208" t="inlineStr">
        <is>
          <t>Operaciones frecuentes o fraccionadas para eludir el umbral.</t>
        </is>
      </c>
      <c r="F626" s="208" t="inlineStr">
        <is>
          <t>Recurrencia moderada sin patrón claro de fraccionamiento.</t>
        </is>
      </c>
      <c r="G626" s="208" t="inlineStr">
        <is>
          <t>Operación aislada y consistente con el perfil de la empresa.</t>
        </is>
      </c>
    </row>
    <row r="627" ht="18.75" customHeight="1" s="173">
      <c r="A627" s="208">
        <f>B627&amp;"-"&amp;C627</f>
        <v/>
      </c>
      <c r="B627" s="344" t="inlineStr">
        <is>
          <t>XIV - CEXT: Joyas, metales, piedras preciosas</t>
        </is>
      </c>
      <c r="C627" s="345" t="n">
        <v>22</v>
      </c>
      <c r="D627" s="208" t="inlineStr">
        <is>
          <t>Canal (presencial / no presencial / terceros)</t>
        </is>
      </c>
      <c r="E627" s="208" t="inlineStr">
        <is>
          <t>Operación no presencial o a través de terceros sin contacto directo.</t>
        </is>
      </c>
      <c r="F627" s="208" t="inlineStr">
        <is>
          <t>Operación presencial con intermediación parcial de un tercero.</t>
        </is>
      </c>
      <c r="G627" s="208" t="inlineStr">
        <is>
          <t>Operación presencial directa con el cliente plenamente identificado.</t>
        </is>
      </c>
    </row>
    <row r="628" ht="18.75" customHeight="1" s="173">
      <c r="A628" s="208">
        <f>B628&amp;"-"&amp;C628</f>
        <v/>
      </c>
      <c r="B628" s="344" t="inlineStr">
        <is>
          <t>XIV - CEXT: Joyas, metales, piedras preciosas</t>
        </is>
      </c>
      <c r="C628" s="345" t="n">
        <v>23</v>
      </c>
      <c r="D628" s="208" t="inlineStr">
        <is>
          <t>Origen de los recursos</t>
        </is>
      </c>
      <c r="E628" s="208" t="inlineStr">
        <is>
          <t>Recursos de origen no acreditable, en efectivo o informal.</t>
        </is>
      </c>
      <c r="F628" s="208" t="inlineStr">
        <is>
          <t>Origen de recursos parcialmente documentado.</t>
        </is>
      </c>
      <c r="G628" s="208" t="inlineStr">
        <is>
          <t>Origen lícito plenamente acreditado y bancarizado.</t>
        </is>
      </c>
    </row>
    <row r="629" ht="18.75" customHeight="1" s="173">
      <c r="A629" s="208">
        <f>B629&amp;"-"&amp;C629</f>
        <v/>
      </c>
      <c r="B629" s="344" t="inlineStr">
        <is>
          <t>XIV - CEXT: Joyas, metales, piedras preciosas</t>
        </is>
      </c>
      <c r="C629" s="345" t="n">
        <v>24</v>
      </c>
      <c r="D629" s="208" t="inlineStr">
        <is>
          <t>Destino de los recursos</t>
        </is>
      </c>
      <c r="E629" s="208" t="inlineStr">
        <is>
          <t>Recursos o bienes al exterior o a terceros sin justificación comercial.</t>
        </is>
      </c>
      <c r="F629" s="208" t="inlineStr">
        <is>
          <t>Destino parcialmente justificado.</t>
        </is>
      </c>
      <c r="G629" s="208" t="inlineStr">
        <is>
          <t>Destino claro, documentado y congruente con la operación.</t>
        </is>
      </c>
    </row>
    <row r="630" ht="18.75" customHeight="1" s="173">
      <c r="A630" s="208">
        <f>B630&amp;"-"&amp;C630</f>
        <v/>
      </c>
      <c r="B630" s="344" t="inlineStr">
        <is>
          <t>XIV - CEXT: Joyas, metales, piedras preciosas</t>
        </is>
      </c>
      <c r="C630" s="345" t="n">
        <v>25</v>
      </c>
      <c r="D630" s="208" t="inlineStr">
        <is>
          <t>Canales e instrumentos idóneos para el financiamiento al terrorismo</t>
        </is>
      </c>
      <c r="E630" s="208" t="inlineStr">
        <is>
          <t>La operación se realiza mediante operaciones a través de agentes sin acreditar al propietario final y pagos a terceros, es decir, medios que permiten mover valor en montos pequeños sin identificar al destinatario final.</t>
        </is>
      </c>
      <c r="F630" s="208" t="inlineStr">
        <is>
          <t>Canal mixto o con verificación parcial: hay registro de la operación pero la trazabilidad del destinatario final es incompleta.</t>
        </is>
      </c>
      <c r="G630" s="208" t="inlineStr">
        <is>
          <t>Operación con propietario identificado, pedimento y pago bancarizado congruentes, con trazabilidad completa del origen y del destinatario.</t>
        </is>
      </c>
    </row>
    <row r="631" ht="18.75" customHeight="1" s="173">
      <c r="A631" s="208">
        <f>B631&amp;"-"&amp;C631</f>
        <v/>
      </c>
      <c r="B631" s="344" t="inlineStr">
        <is>
          <t>XIV - CEXT: Obras de arte</t>
        </is>
      </c>
      <c r="C631" s="345" t="n">
        <v>1</v>
      </c>
      <c r="D631" s="208" t="inlineStr">
        <is>
          <t>Valor del producto o servicio</t>
        </is>
      </c>
      <c r="E631" s="208" t="inlineStr">
        <is>
          <t>Obras de alto valor en subasta o traslado internacional.</t>
        </is>
      </c>
      <c r="F631" s="208" t="inlineStr">
        <is>
          <t>Obras de valor intermedio con mercado establecido.</t>
        </is>
      </c>
      <c r="G631" s="208" t="inlineStr">
        <is>
          <t>Obras de bajo valor con factura y documentación aduanera.</t>
        </is>
      </c>
    </row>
    <row r="632" ht="18.75" customHeight="1" s="173">
      <c r="A632" s="208">
        <f>B632&amp;"-"&amp;C632</f>
        <v/>
      </c>
      <c r="B632" s="344" t="inlineStr">
        <is>
          <t>XIV - CEXT: Obras de arte</t>
        </is>
      </c>
      <c r="C632" s="345" t="n">
        <v>2</v>
      </c>
      <c r="D632" s="208" t="inlineStr">
        <is>
          <t>Liquidez / convertibilidad</t>
        </is>
      </c>
      <c r="E632" s="208" t="inlineStr">
        <is>
          <t>Pieza revendible en mercado internacional opaco de alta liquidez.</t>
        </is>
      </c>
      <c r="F632" s="208" t="inlineStr">
        <is>
          <t>Reventa posible con menor liquidez y trazabilidad.</t>
        </is>
      </c>
      <c r="G632" s="208" t="inlineStr">
        <is>
          <t>Baja reventa; circulación internacional limitada.</t>
        </is>
      </c>
    </row>
    <row r="633" ht="18.75" customHeight="1" s="173">
      <c r="A633" s="208">
        <f>B633&amp;"-"&amp;C633</f>
        <v/>
      </c>
      <c r="B633" s="344" t="inlineStr">
        <is>
          <t>XIV - CEXT: Obras de arte</t>
        </is>
      </c>
      <c r="C633" s="345" t="n">
        <v>3</v>
      </c>
      <c r="D633" s="208" t="inlineStr">
        <is>
          <t>Anonimato / identificación del beneficiario</t>
        </is>
      </c>
      <c r="E633" s="208" t="inlineStr">
        <is>
          <t>Traslado a través de intermediarios que ocultan al beneficiario final.</t>
        </is>
      </c>
      <c r="F633" s="208" t="inlineStr">
        <is>
          <t>Identificación básica sin verificar al beneficiario final.</t>
        </is>
      </c>
      <c r="G633" s="208" t="inlineStr">
        <is>
          <t>Comprador y beneficiario final plenamente identificados.</t>
        </is>
      </c>
    </row>
    <row r="634" ht="18.75" customHeight="1" s="173">
      <c r="A634" s="208">
        <f>B634&amp;"-"&amp;C634</f>
        <v/>
      </c>
      <c r="B634" s="344" t="inlineStr">
        <is>
          <t>XIV - CEXT: Obras de arte</t>
        </is>
      </c>
      <c r="C634" s="345" t="n">
        <v>4</v>
      </c>
      <c r="D634" s="208" t="inlineStr">
        <is>
          <t>Transferencia u ocultamiento de valor</t>
        </is>
      </c>
      <c r="E634" s="208" t="inlineStr">
        <is>
          <t>Sobre o subvaluación transfronteriza para justificar o mover flujos ilícitos.</t>
        </is>
      </c>
      <c r="F634" s="208" t="inlineStr">
        <is>
          <t>Margen de valuación que facilita ajustes de valor moderados.</t>
        </is>
      </c>
      <c r="G634" s="208" t="inlineStr">
        <is>
          <t>Valuación soportada y trazable que dificulta el ocultamiento.</t>
        </is>
      </c>
    </row>
    <row r="635" ht="18.75" customHeight="1" s="173">
      <c r="A635" s="208">
        <f>B635&amp;"-"&amp;C635</f>
        <v/>
      </c>
      <c r="B635" s="344" t="inlineStr">
        <is>
          <t>XIV - CEXT: Obras de arte</t>
        </is>
      </c>
      <c r="C635" s="345" t="n">
        <v>5</v>
      </c>
      <c r="D635" s="208" t="inlineStr">
        <is>
          <t>Exposición del acto u operación al financiamiento al terrorismo</t>
        </is>
      </c>
      <c r="E635" s="208" t="inlineStr">
        <is>
          <t>Traslado internacional de piezas de alto valor con origen o destino en jurisdicciones sancionadas o en conflicto, incluido el saqueo de bienes culturales en zonas de guerra.</t>
        </is>
      </c>
      <c r="F635" s="208" t="inlineStr">
        <is>
          <t>Contrapartes en jurisdicciones de monitoreo intensificado o procedencia de la pieza poco clara, sin coincidencias en listas.</t>
        </is>
      </c>
      <c r="G635" s="208" t="inlineStr">
        <is>
          <t>Contrapartes identificadas, procedencia de la pieza documentada y jurisdicciones sin señalamientos.</t>
        </is>
      </c>
    </row>
    <row r="636" ht="18.75" customHeight="1" s="173">
      <c r="A636" s="208">
        <f>B636&amp;"-"&amp;C636</f>
        <v/>
      </c>
      <c r="B636" s="344" t="inlineStr">
        <is>
          <t>XIV - CEXT: Obras de arte</t>
        </is>
      </c>
      <c r="C636" s="345" t="n">
        <v>6</v>
      </c>
      <c r="D636" s="208" t="inlineStr">
        <is>
          <t>Tipo de persona y estructura</t>
        </is>
      </c>
      <c r="E636" s="208" t="inlineStr">
        <is>
          <t>Persona moral extranjera, fideicomiso o coleccionista anónimo.</t>
        </is>
      </c>
      <c r="F636" s="208" t="inlineStr">
        <is>
          <t>Persona moral nacional o galería con estructura simple.</t>
        </is>
      </c>
      <c r="G636" s="208" t="inlineStr">
        <is>
          <t>Persona física identificada o institución transparente.</t>
        </is>
      </c>
    </row>
    <row r="637" ht="18.75" customHeight="1" s="173">
      <c r="A637" s="208">
        <f>B637&amp;"-"&amp;C637</f>
        <v/>
      </c>
      <c r="B637" s="344" t="inlineStr">
        <is>
          <t>XIV - CEXT: Obras de arte</t>
        </is>
      </c>
      <c r="C637" s="345" t="n">
        <v>7</v>
      </c>
      <c r="D637" s="208" t="inlineStr">
        <is>
          <t>Edad / fecha de constitución</t>
        </is>
      </c>
      <c r="E637" s="208" t="inlineStr">
        <is>
          <t>Contraparte muy joven atípica o entidad de reciente creación.</t>
        </is>
      </c>
      <c r="F637" s="208" t="inlineStr">
        <is>
          <t>Antigüedad intermedia sin historial consolidado.</t>
        </is>
      </c>
      <c r="G637" s="208" t="inlineStr">
        <is>
          <t>Coleccionista o casa con trayectoria y antigüedad acreditada.</t>
        </is>
      </c>
    </row>
    <row r="638" ht="18.75" customHeight="1" s="173">
      <c r="A638" s="208">
        <f>B638&amp;"-"&amp;C638</f>
        <v/>
      </c>
      <c r="B638" s="344" t="inlineStr">
        <is>
          <t>XIV - CEXT: Obras de arte</t>
        </is>
      </c>
      <c r="C638" s="345" t="n">
        <v>8</v>
      </c>
      <c r="D638" s="208" t="inlineStr">
        <is>
          <t>Actividad económica o giro (y fuente de ingresos)</t>
        </is>
      </c>
      <c r="E638" s="208" t="inlineStr">
        <is>
          <t>Giro sin sustancia económica o uso del arte como vehículo de valor.</t>
        </is>
      </c>
      <c r="F638" s="208" t="inlineStr">
        <is>
          <t>Actividad formal con ingresos parcialmente acreditados.</t>
        </is>
      </c>
      <c r="G638" s="208" t="inlineStr">
        <is>
          <t>Galería o casa formal con operaciones bancarizadas.</t>
        </is>
      </c>
    </row>
    <row r="639" ht="18.75" customHeight="1" s="173">
      <c r="A639" s="208">
        <f>B639&amp;"-"&amp;C639</f>
        <v/>
      </c>
      <c r="B639" s="344" t="inlineStr">
        <is>
          <t>XIV - CEXT: Obras de arte</t>
        </is>
      </c>
      <c r="C639" s="345" t="n">
        <v>9</v>
      </c>
      <c r="D639" s="208" t="inlineStr">
        <is>
          <t>Nacionalidad del cliente</t>
        </is>
      </c>
      <c r="E639" s="208" t="inlineStr">
        <is>
          <t>Cliente de país en listas GAFI, sancionado o de régimen fiscal preferente.</t>
        </is>
      </c>
      <c r="F639" s="208" t="inlineStr">
        <is>
          <t>Cliente extranjero de país sin deficiencias estratégicas pero con controles PLD limitados.</t>
        </is>
      </c>
      <c r="G639" s="208" t="inlineStr">
        <is>
          <t>Cliente mexicano o de país cooperante con marco PLD/FT sólido.</t>
        </is>
      </c>
    </row>
    <row r="640" ht="18.75" customHeight="1" s="173">
      <c r="A640" s="208">
        <f>B640&amp;"-"&amp;C640</f>
        <v/>
      </c>
      <c r="B640" s="344" t="inlineStr">
        <is>
          <t>XIV - CEXT: Obras de arte</t>
        </is>
      </c>
      <c r="C640" s="345" t="n">
        <v>10</v>
      </c>
      <c r="D640" s="208" t="inlineStr">
        <is>
          <t>País (y en su caso, estado) de residencia del cliente</t>
        </is>
      </c>
      <c r="E640" s="208" t="inlineStr">
        <is>
          <t>Residencia en jurisdicción de alto riesgo o domicilio no verificable.</t>
        </is>
      </c>
      <c r="F640" s="208" t="inlineStr">
        <is>
          <t>Residencia en entidad de riesgo intermedio o parcialmente verificable.</t>
        </is>
      </c>
      <c r="G640" s="208" t="inlineStr">
        <is>
          <t>Residencia nacional plenamente verificada y documentada.</t>
        </is>
      </c>
    </row>
    <row r="641" ht="18.75" customHeight="1" s="173">
      <c r="A641" s="208">
        <f>B641&amp;"-"&amp;C641</f>
        <v/>
      </c>
      <c r="B641" s="344" t="inlineStr">
        <is>
          <t>XIV - CEXT: Obras de arte</t>
        </is>
      </c>
      <c r="C641" s="345" t="n">
        <v>11</v>
      </c>
      <c r="D641" s="208" t="inlineStr">
        <is>
          <t>Condición PEP</t>
        </is>
      </c>
      <c r="E641" s="208" t="inlineStr">
        <is>
          <t>PEP nacional o extranjera, o familiar/allegado de PEP.</t>
        </is>
      </c>
      <c r="F641" s="208" t="inlineStr">
        <is>
          <t>Vínculo indirecto o histórico con PEP, sin poder de decisión actual.</t>
        </is>
      </c>
      <c r="G641" s="208" t="inlineStr">
        <is>
          <t>Cliente sin condición PEP ni relación con personas expuestas.</t>
        </is>
      </c>
    </row>
    <row r="642" ht="18.75" customHeight="1" s="173">
      <c r="A642" s="208">
        <f>B642&amp;"-"&amp;C642</f>
        <v/>
      </c>
      <c r="B642" s="344" t="inlineStr">
        <is>
          <t>XIV - CEXT: Obras de arte</t>
        </is>
      </c>
      <c r="C642" s="345" t="n">
        <v>12</v>
      </c>
      <c r="D642" s="208" t="inlineStr">
        <is>
          <t>Coincidencia en listas de personas bloqueadas o de sanciones</t>
        </is>
      </c>
      <c r="E642" s="208" t="inlineStr">
        <is>
          <t>El importador o exportador, su beneficiario controlador, apoderado o contraparte aparece en la Lista de Personas Bloqueadas, en listas de sanciones o en listas de organizaciones terroristas, o presenta una coincidencia fuerte que no ha sido descartada.</t>
        </is>
      </c>
      <c r="F642" s="208" t="inlineStr">
        <is>
          <t>Se detecta coincidencia parcial u homonimia respecto del importador o exportador o de alguna persona relacionada, y el descarte se encuentra en proceso con constancia documental.</t>
        </is>
      </c>
      <c r="G642" s="208" t="inlineStr">
        <is>
          <t>Búsqueda realizada y documentada sobre el importador o exportador y sus personas relacionadas, sin coincidencias.</t>
        </is>
      </c>
    </row>
    <row r="643" ht="18.75" customHeight="1" s="173">
      <c r="A643" s="208">
        <f>B643&amp;"-"&amp;C643</f>
        <v/>
      </c>
      <c r="B643" s="344" t="inlineStr">
        <is>
          <t>XIV - CEXT: Obras de arte</t>
        </is>
      </c>
      <c r="C643" s="345" t="n">
        <v>13</v>
      </c>
      <c r="D643" s="208" t="inlineStr">
        <is>
          <t>Identificación y complejidad del Beneficiario Controlador</t>
        </is>
      </c>
      <c r="E643" s="208" t="inlineStr">
        <is>
          <t>No se logra identificar al beneficiario controlador del importador o exportador, o la estructura interpone dos o más niveles societarios, fiduciarios o vehículos constituidos en el extranjero para llegar al 25 por ciento.</t>
        </is>
      </c>
      <c r="F643" s="208" t="inlineStr">
        <is>
          <t>Beneficiario controlador identificado, pero a través de una estructura de más de un nivel o con participación indirecta que exigió reconstruir la cadena de control con documentos.</t>
        </is>
      </c>
      <c r="G643" s="208" t="inlineStr">
        <is>
          <t>Beneficiario controlador identificado de forma directa y documentada: persona física que posee al menos el 25 por ciento o que ejerce el control por otra vía acreditada.</t>
        </is>
      </c>
    </row>
    <row r="644" ht="18.75" customHeight="1" s="173">
      <c r="A644" s="208">
        <f>B644&amp;"-"&amp;C644</f>
        <v/>
      </c>
      <c r="B644" s="344" t="inlineStr">
        <is>
          <t>XIV - CEXT: Obras de arte</t>
        </is>
      </c>
      <c r="C644" s="345" t="n">
        <v>14</v>
      </c>
      <c r="D644" s="208" t="inlineStr">
        <is>
          <t>País / jurisdicción donde se realiza la operación</t>
        </is>
      </c>
      <c r="E644" s="208" t="inlineStr">
        <is>
          <t>Operación realizada con o desde jurisdicción de alto riesgo.</t>
        </is>
      </c>
      <c r="F644" s="208" t="inlineStr">
        <is>
          <t>Operación con contraparte en jurisdicción de riesgo intermedio.</t>
        </is>
      </c>
      <c r="G644" s="208" t="inlineStr">
        <is>
          <t>Operación nacional o con jurisdicción cooperante y transparente.</t>
        </is>
      </c>
    </row>
    <row r="645" ht="18.75" customHeight="1" s="173">
      <c r="A645" s="208">
        <f>B645&amp;"-"&amp;C645</f>
        <v/>
      </c>
      <c r="B645" s="344" t="inlineStr">
        <is>
          <t>XIV - CEXT: Obras de arte</t>
        </is>
      </c>
      <c r="C645" s="345" t="n">
        <v>15</v>
      </c>
      <c r="D645" s="208" t="inlineStr">
        <is>
          <t>Área geográfica nacional de la operación</t>
        </is>
      </c>
      <c r="E645" s="208" t="inlineStr">
        <is>
          <t>Zona de alta incidencia delictiva, marginación o franja fronteriza.</t>
        </is>
      </c>
      <c r="F645" s="208" t="inlineStr">
        <is>
          <t>Zona urbana de riesgo intermedio sin alertas relevantes.</t>
        </is>
      </c>
      <c r="G645" s="208" t="inlineStr">
        <is>
          <t>Zona de baja incidencia con presencia institucional.</t>
        </is>
      </c>
    </row>
    <row r="646" ht="18.75" customHeight="1" s="173">
      <c r="A646" s="208">
        <f>B646&amp;"-"&amp;C646</f>
        <v/>
      </c>
      <c r="B646" s="344" t="inlineStr">
        <is>
          <t>XIV - CEXT: Obras de arte</t>
        </is>
      </c>
      <c r="C646" s="345" t="n">
        <v>16</v>
      </c>
      <c r="D646" s="208" t="inlineStr">
        <is>
          <t>Vínculo con jurisdicciones sancionadas, en conflicto o de acción requerida por el GAFI</t>
        </is>
      </c>
      <c r="E646" s="208" t="inlineStr">
        <is>
          <t>Existe exposición a jurisdicciones sancionadas, en conflicto armado o de acción requerida del GAFI, por la vía de origen o destino de la obra en el extranjero, por definición de la operación.</t>
        </is>
      </c>
      <c r="F646" s="208" t="inlineStr">
        <is>
          <t>Vínculo con jurisdicciones bajo monitoreo intensificado del GAFI o con deficiencias señaladas en la ENR, sin estar sancionadas ni en conflicto.</t>
        </is>
      </c>
      <c r="G646" s="208" t="inlineStr">
        <is>
          <t>Sin vínculo con jurisdicciones sancionadas, en conflicto o listadas por el GAFI; la operación y sus partes se ubican en plazas sin señalamientos.</t>
        </is>
      </c>
    </row>
    <row r="647" ht="18.75" customHeight="1" s="173">
      <c r="A647" s="208">
        <f>B647&amp;"-"&amp;C647</f>
        <v/>
      </c>
      <c r="B647" s="344" t="inlineStr">
        <is>
          <t>XIV - CEXT: Obras de arte</t>
        </is>
      </c>
      <c r="C647" s="345" t="n">
        <v>17</v>
      </c>
      <c r="D647" s="208" t="inlineStr">
        <is>
          <t>Congruencia entre el domicilio del Cliente y el lugar de la operación</t>
        </is>
      </c>
      <c r="E647" s="208" t="inlineStr">
        <is>
          <t>El domicilio del importador o exportador no guarda relación económica ni logística con el lugar donde se realiza la importación o exportación de la obra, y no existe explicación documentada del desplazamiento.</t>
        </is>
      </c>
      <c r="F647" s="208" t="inlineStr">
        <is>
          <t>Existe distancia relevante entre el domicilio del importador o exportador y el lugar de la operación, con explicación plausible pero no soportada en el expediente.</t>
        </is>
      </c>
      <c r="G647" s="208" t="inlineStr">
        <is>
          <t>El domicilio del importador o exportador corresponde a la plaza donde se realiza la importación o exportación de la obra, o el desplazamiento está justificado y documentado.</t>
        </is>
      </c>
    </row>
    <row r="648" ht="18.75" customHeight="1" s="173">
      <c r="A648" s="208">
        <f>B648&amp;"-"&amp;C648</f>
        <v/>
      </c>
      <c r="B648" s="344" t="inlineStr">
        <is>
          <t>XIV - CEXT: Obras de arte</t>
        </is>
      </c>
      <c r="C648" s="345" t="n">
        <v>18</v>
      </c>
      <c r="D648" s="208" t="inlineStr">
        <is>
          <t>Instrumento monetario</t>
        </is>
      </c>
      <c r="E648" s="208" t="inlineStr">
        <is>
          <t>Pago en efectivo o instrumentos al portador.</t>
        </is>
      </c>
      <c r="F648" s="208" t="inlineStr">
        <is>
          <t>Pago mixto: efectivo combinado con transferencia.</t>
        </is>
      </c>
      <c r="G648" s="208" t="inlineStr">
        <is>
          <t>Pago íntegro a través del sistema financiero.</t>
        </is>
      </c>
    </row>
    <row r="649" ht="18.75" customHeight="1" s="173">
      <c r="A649" s="208">
        <f>B649&amp;"-"&amp;C649</f>
        <v/>
      </c>
      <c r="B649" s="344" t="inlineStr">
        <is>
          <t>XIV - CEXT: Obras de arte</t>
        </is>
      </c>
      <c r="C649" s="345" t="n">
        <v>19</v>
      </c>
      <c r="D649" s="208" t="inlineStr">
        <is>
          <t>Tipo de moneda</t>
        </is>
      </c>
      <c r="E649" s="208" t="inlineStr">
        <is>
          <t>Operación en moneda extranjera distinta al USD o en criptomonedas.</t>
        </is>
      </c>
      <c r="F649" s="208" t="inlineStr">
        <is>
          <t>Operación pactada en dólares estadounidenses (USD).</t>
        </is>
      </c>
      <c r="G649" s="208" t="inlineStr">
        <is>
          <t>Operación pactada y liquidada en pesos mexicanos.</t>
        </is>
      </c>
    </row>
    <row r="650" ht="18.75" customHeight="1" s="173">
      <c r="A650" s="208">
        <f>B650&amp;"-"&amp;C650</f>
        <v/>
      </c>
      <c r="B650" s="344" t="inlineStr">
        <is>
          <t>XIV - CEXT: Obras de arte</t>
        </is>
      </c>
      <c r="C650" s="345" t="n">
        <v>20</v>
      </c>
      <c r="D650" s="208" t="inlineStr">
        <is>
          <t>Monto frente a umbrales LFPIORPI</t>
        </is>
      </c>
      <c r="E650" s="208" t="inlineStr">
        <is>
          <t>Monto que supera el umbral de aviso de 4,815 UMA.</t>
        </is>
      </c>
      <c r="F650" s="208" t="inlineStr">
        <is>
          <t>Monto cercano al umbral de 4,815 UMA sin superarlo.</t>
        </is>
      </c>
      <c r="G650" s="208" t="inlineStr">
        <is>
          <t>Monto muy por debajo del umbral de 4,815 UMA.</t>
        </is>
      </c>
    </row>
    <row r="651" ht="18.75" customHeight="1" s="173">
      <c r="A651" s="208">
        <f>B651&amp;"-"&amp;C651</f>
        <v/>
      </c>
      <c r="B651" s="344" t="inlineStr">
        <is>
          <t>XIV - CEXT: Obras de arte</t>
        </is>
      </c>
      <c r="C651" s="345" t="n">
        <v>21</v>
      </c>
      <c r="D651" s="208" t="inlineStr">
        <is>
          <t>Frecuencia (fraccionamiento)</t>
        </is>
      </c>
      <c r="E651" s="208" t="inlineStr">
        <is>
          <t>Operaciones frecuentes o fraccionadas para eludir el umbral.</t>
        </is>
      </c>
      <c r="F651" s="208" t="inlineStr">
        <is>
          <t>Recurrencia moderada sin patrón claro de fraccionamiento.</t>
        </is>
      </c>
      <c r="G651" s="208" t="inlineStr">
        <is>
          <t>Operación aislada y consistente con el perfil del comprador.</t>
        </is>
      </c>
    </row>
    <row r="652" ht="18.75" customHeight="1" s="173">
      <c r="A652" s="208">
        <f>B652&amp;"-"&amp;C652</f>
        <v/>
      </c>
      <c r="B652" s="344" t="inlineStr">
        <is>
          <t>XIV - CEXT: Obras de arte</t>
        </is>
      </c>
      <c r="C652" s="345" t="n">
        <v>22</v>
      </c>
      <c r="D652" s="208" t="inlineStr">
        <is>
          <t>Canal (presencial / no presencial / terceros)</t>
        </is>
      </c>
      <c r="E652" s="208" t="inlineStr">
        <is>
          <t>Operación no presencial o a través de terceros sin contacto directo.</t>
        </is>
      </c>
      <c r="F652" s="208" t="inlineStr">
        <is>
          <t>Operación presencial con intermediación parcial de un tercero.</t>
        </is>
      </c>
      <c r="G652" s="208" t="inlineStr">
        <is>
          <t>Operación presencial directa con el cliente plenamente identificado.</t>
        </is>
      </c>
    </row>
    <row r="653" ht="18.75" customHeight="1" s="173">
      <c r="A653" s="208">
        <f>B653&amp;"-"&amp;C653</f>
        <v/>
      </c>
      <c r="B653" s="344" t="inlineStr">
        <is>
          <t>XIV - CEXT: Obras de arte</t>
        </is>
      </c>
      <c r="C653" s="345" t="n">
        <v>23</v>
      </c>
      <c r="D653" s="208" t="inlineStr">
        <is>
          <t>Origen de los recursos</t>
        </is>
      </c>
      <c r="E653" s="208" t="inlineStr">
        <is>
          <t>Recursos de origen no acreditable, en efectivo o informal.</t>
        </is>
      </c>
      <c r="F653" s="208" t="inlineStr">
        <is>
          <t>Origen de recursos parcialmente documentado.</t>
        </is>
      </c>
      <c r="G653" s="208" t="inlineStr">
        <is>
          <t>Origen lícito plenamente acreditado y bancarizado.</t>
        </is>
      </c>
    </row>
    <row r="654" ht="18.75" customHeight="1" s="173">
      <c r="A654" s="208">
        <f>B654&amp;"-"&amp;C654</f>
        <v/>
      </c>
      <c r="B654" s="344" t="inlineStr">
        <is>
          <t>XIV - CEXT: Obras de arte</t>
        </is>
      </c>
      <c r="C654" s="345" t="n">
        <v>24</v>
      </c>
      <c r="D654" s="208" t="inlineStr">
        <is>
          <t>Destino de los recursos</t>
        </is>
      </c>
      <c r="E654" s="208" t="inlineStr">
        <is>
          <t>Obra o recursos al exterior o a terceros sin justificación.</t>
        </is>
      </c>
      <c r="F654" s="208" t="inlineStr">
        <is>
          <t>Destino parcialmente justificado.</t>
        </is>
      </c>
      <c r="G654" s="208" t="inlineStr">
        <is>
          <t>Destino claro, documentado y congruente con la operación.</t>
        </is>
      </c>
    </row>
    <row r="655" ht="18.75" customHeight="1" s="173">
      <c r="A655" s="208">
        <f>B655&amp;"-"&amp;C655</f>
        <v/>
      </c>
      <c r="B655" s="344" t="inlineStr">
        <is>
          <t>XIV - CEXT: Obras de arte</t>
        </is>
      </c>
      <c r="C655" s="345" t="n">
        <v>25</v>
      </c>
      <c r="D655" s="208" t="inlineStr">
        <is>
          <t>Canales e instrumentos idóneos para el financiamiento al terrorismo</t>
        </is>
      </c>
      <c r="E655" s="208" t="inlineStr">
        <is>
          <t>La operación se realiza mediante operaciones a través de agentes sin acreditar al propietario final y pagos a terceros, es decir, medios que permiten mover valor en montos pequeños sin identificar al destinatario final.</t>
        </is>
      </c>
      <c r="F655" s="208" t="inlineStr">
        <is>
          <t>Canal mixto o con verificación parcial: hay registro de la operación pero la trazabilidad del destinatario final es incompleta.</t>
        </is>
      </c>
      <c r="G655" s="208" t="inlineStr">
        <is>
          <t>Operación con propietario identificado, pedimento y pago bancarizado congruentes, con trazabilidad completa del origen y del destinatario.</t>
        </is>
      </c>
    </row>
    <row r="656" ht="18.75" customHeight="1" s="173">
      <c r="A656" s="208">
        <f>B656&amp;"-"&amp;C656</f>
        <v/>
      </c>
      <c r="B656" s="344" t="inlineStr">
        <is>
          <t>XIV - CEXT: Vehículos, máquinas, blindaje, etc.</t>
        </is>
      </c>
      <c r="C656" s="345" t="n">
        <v>1</v>
      </c>
      <c r="D656" s="208" t="inlineStr">
        <is>
          <t>Valor del producto o servicio</t>
        </is>
      </c>
      <c r="E656" s="208" t="inlineStr">
        <is>
          <t>Importación/exportación de bienes de lujo de alto valor unitario.</t>
        </is>
      </c>
      <c r="F656" s="208" t="inlineStr">
        <is>
          <t>Comercialización de bienes de valor intermedio.</t>
        </is>
      </c>
      <c r="G656" s="208" t="inlineStr">
        <is>
          <t>Bienes de uso común de bajo valor con documentación completa.</t>
        </is>
      </c>
    </row>
    <row r="657" ht="18.75" customHeight="1" s="173">
      <c r="A657" s="208">
        <f>B657&amp;"-"&amp;C657</f>
        <v/>
      </c>
      <c r="B657" s="344" t="inlineStr">
        <is>
          <t>XIV - CEXT: Vehículos, máquinas, blindaje, etc.</t>
        </is>
      </c>
      <c r="C657" s="345" t="n">
        <v>2</v>
      </c>
      <c r="D657" s="208" t="inlineStr">
        <is>
          <t>Liquidez / convertibilidad</t>
        </is>
      </c>
      <c r="E657" s="208" t="inlineStr">
        <is>
          <t>Bien de alta liquidez transfronteriza, revendible o liquidable en efectivo.</t>
        </is>
      </c>
      <c r="F657" s="208" t="inlineStr">
        <is>
          <t>Reventa con depreciación y trazabilidad parcial.</t>
        </is>
      </c>
      <c r="G657" s="208" t="inlineStr">
        <is>
          <t>Reventa limitada con registro y trazabilidad completos.</t>
        </is>
      </c>
    </row>
    <row r="658" ht="18.75" customHeight="1" s="173">
      <c r="A658" s="208">
        <f>B658&amp;"-"&amp;C658</f>
        <v/>
      </c>
      <c r="B658" s="344" t="inlineStr">
        <is>
          <t>XIV - CEXT: Vehículos, máquinas, blindaje, etc.</t>
        </is>
      </c>
      <c r="C658" s="345" t="n">
        <v>3</v>
      </c>
      <c r="D658" s="208" t="inlineStr">
        <is>
          <t>Anonimato / identificación del beneficiario</t>
        </is>
      </c>
      <c r="E658" s="208" t="inlineStr">
        <is>
          <t>Importador/exportador que oculta al beneficiario final tras terceros.</t>
        </is>
      </c>
      <c r="F658" s="208" t="inlineStr">
        <is>
          <t>Identificación básica sin verificar al beneficiario final.</t>
        </is>
      </c>
      <c r="G658" s="208" t="inlineStr">
        <is>
          <t>Titular y beneficiario final plenamente identificados.</t>
        </is>
      </c>
    </row>
    <row r="659" ht="18.75" customHeight="1" s="173">
      <c r="A659" s="208">
        <f>B659&amp;"-"&amp;C659</f>
        <v/>
      </c>
      <c r="B659" s="344" t="inlineStr">
        <is>
          <t>XIV - CEXT: Vehículos, máquinas, blindaje, etc.</t>
        </is>
      </c>
      <c r="C659" s="345" t="n">
        <v>4</v>
      </c>
      <c r="D659" s="208" t="inlineStr">
        <is>
          <t>Transferencia u ocultamiento de valor</t>
        </is>
      </c>
      <c r="E659" s="208" t="inlineStr">
        <is>
          <t>Comercio exterior usado para estratificar y ocultar el origen de fondos.</t>
        </is>
      </c>
      <c r="F659" s="208" t="inlineStr">
        <is>
          <t>Facilita ocultamiento parcial de valor en la cadena aduanera.</t>
        </is>
      </c>
      <c r="G659" s="208" t="inlineStr">
        <is>
          <t>Operación trazable y documentada que dificulta el ocultamiento.</t>
        </is>
      </c>
    </row>
    <row r="660" ht="18.75" customHeight="1" s="173">
      <c r="A660" s="208">
        <f>B660&amp;"-"&amp;C660</f>
        <v/>
      </c>
      <c r="B660" s="344" t="inlineStr">
        <is>
          <t>XIV - CEXT: Vehículos, máquinas, blindaje, etc.</t>
        </is>
      </c>
      <c r="C660" s="345" t="n">
        <v>5</v>
      </c>
      <c r="D660" s="208" t="inlineStr">
        <is>
          <t>Exposición del acto u operación al financiamiento al terrorismo</t>
        </is>
      </c>
      <c r="E660" s="208" t="inlineStr">
        <is>
          <t>Exportación o importación de bienes de doble uso, unidades adaptables o equipo susceptible de aprovechamiento logístico con destino a jurisdicciones sancionadas o en conflicto.</t>
        </is>
      </c>
      <c r="F660" s="208" t="inlineStr">
        <is>
          <t>Contrapartes en jurisdicciones de monitoreo intensificado o destino final poco claro, sin coincidencias en listas.</t>
        </is>
      </c>
      <c r="G660" s="208" t="inlineStr">
        <is>
          <t>Contrapartes identificadas, uso declarado congruente y jurisdicciones sin señalamientos.</t>
        </is>
      </c>
    </row>
    <row r="661" ht="18.75" customHeight="1" s="173">
      <c r="A661" s="208">
        <f>B661&amp;"-"&amp;C661</f>
        <v/>
      </c>
      <c r="B661" s="344" t="inlineStr">
        <is>
          <t>XIV - CEXT: Vehículos, máquinas, blindaje, etc.</t>
        </is>
      </c>
      <c r="C661" s="345" t="n">
        <v>6</v>
      </c>
      <c r="D661" s="208" t="inlineStr">
        <is>
          <t>Tipo de persona y estructura</t>
        </is>
      </c>
      <c r="E661" s="208" t="inlineStr">
        <is>
          <t>Persona moral extranjera, fideicomiso o estructura opaca.</t>
        </is>
      </c>
      <c r="F661" s="208" t="inlineStr">
        <is>
          <t>Persona moral nacional con estructura de control simple.</t>
        </is>
      </c>
      <c r="G661" s="208" t="inlineStr">
        <is>
          <t>Persona física identificada o empresa transparente.</t>
        </is>
      </c>
    </row>
    <row r="662" ht="18.75" customHeight="1" s="173">
      <c r="A662" s="208">
        <f>B662&amp;"-"&amp;C662</f>
        <v/>
      </c>
      <c r="B662" s="344" t="inlineStr">
        <is>
          <t>XIV - CEXT: Vehículos, máquinas, blindaje, etc.</t>
        </is>
      </c>
      <c r="C662" s="345" t="n">
        <v>7</v>
      </c>
      <c r="D662" s="208" t="inlineStr">
        <is>
          <t>Edad / fecha de constitución</t>
        </is>
      </c>
      <c r="E662" s="208" t="inlineStr">
        <is>
          <t>Contraparte muy joven atípica o empresa de reciente creación.</t>
        </is>
      </c>
      <c r="F662" s="208" t="inlineStr">
        <is>
          <t>Antigüedad intermedia sin historial de comercio exterior consolidado.</t>
        </is>
      </c>
      <c r="G662" s="208" t="inlineStr">
        <is>
          <t>Empresa con trayectoria e historial aduanero acreditado.</t>
        </is>
      </c>
    </row>
    <row r="663" ht="18.75" customHeight="1" s="173">
      <c r="A663" s="208">
        <f>B663&amp;"-"&amp;C663</f>
        <v/>
      </c>
      <c r="B663" s="344" t="inlineStr">
        <is>
          <t>XIV - CEXT: Vehículos, máquinas, blindaje, etc.</t>
        </is>
      </c>
      <c r="C663" s="345" t="n">
        <v>8</v>
      </c>
      <c r="D663" s="208" t="inlineStr">
        <is>
          <t>Actividad económica o giro (y fuente de ingresos)</t>
        </is>
      </c>
      <c r="E663" s="208" t="inlineStr">
        <is>
          <t>Giro informal, uso intensivo de efectivo o triangulación comercial.</t>
        </is>
      </c>
      <c r="F663" s="208" t="inlineStr">
        <is>
          <t>Comercio formal con componente de efectivo relevante.</t>
        </is>
      </c>
      <c r="G663" s="208" t="inlineStr">
        <is>
          <t>Empresa formal con operaciones bancarizadas y acreditadas.</t>
        </is>
      </c>
    </row>
    <row r="664" ht="18.75" customHeight="1" s="173">
      <c r="A664" s="208">
        <f>B664&amp;"-"&amp;C664</f>
        <v/>
      </c>
      <c r="B664" s="344" t="inlineStr">
        <is>
          <t>XIV - CEXT: Vehículos, máquinas, blindaje, etc.</t>
        </is>
      </c>
      <c r="C664" s="345" t="n">
        <v>9</v>
      </c>
      <c r="D664" s="208" t="inlineStr">
        <is>
          <t>Nacionalidad del cliente</t>
        </is>
      </c>
      <c r="E664" s="208" t="inlineStr">
        <is>
          <t>Cliente de país en listas GAFI, sancionado o de régimen fiscal preferente.</t>
        </is>
      </c>
      <c r="F664" s="208" t="inlineStr">
        <is>
          <t>Cliente extranjero de país sin deficiencias estratégicas pero con controles PLD limitados.</t>
        </is>
      </c>
      <c r="G664" s="208" t="inlineStr">
        <is>
          <t>Cliente mexicano o de país cooperante con marco PLD/FT sólido.</t>
        </is>
      </c>
    </row>
    <row r="665" ht="18.75" customHeight="1" s="173">
      <c r="A665" s="208">
        <f>B665&amp;"-"&amp;C665</f>
        <v/>
      </c>
      <c r="B665" s="344" t="inlineStr">
        <is>
          <t>XIV - CEXT: Vehículos, máquinas, blindaje, etc.</t>
        </is>
      </c>
      <c r="C665" s="345" t="n">
        <v>10</v>
      </c>
      <c r="D665" s="208" t="inlineStr">
        <is>
          <t>País (y en su caso, estado) de residencia del cliente</t>
        </is>
      </c>
      <c r="E665" s="208" t="inlineStr">
        <is>
          <t>Residencia en jurisdicción de alto riesgo o domicilio no verificable.</t>
        </is>
      </c>
      <c r="F665" s="208" t="inlineStr">
        <is>
          <t>Residencia en entidad de riesgo intermedio o parcialmente verificable.</t>
        </is>
      </c>
      <c r="G665" s="208" t="inlineStr">
        <is>
          <t>Residencia nacional plenamente verificada y documentada.</t>
        </is>
      </c>
    </row>
    <row r="666" ht="18.75" customHeight="1" s="173">
      <c r="A666" s="208">
        <f>B666&amp;"-"&amp;C666</f>
        <v/>
      </c>
      <c r="B666" s="344" t="inlineStr">
        <is>
          <t>XIV - CEXT: Vehículos, máquinas, blindaje, etc.</t>
        </is>
      </c>
      <c r="C666" s="345" t="n">
        <v>11</v>
      </c>
      <c r="D666" s="208" t="inlineStr">
        <is>
          <t>Condición PEP</t>
        </is>
      </c>
      <c r="E666" s="208" t="inlineStr">
        <is>
          <t>PEP nacional o extranjera, o familiar/allegado de PEP.</t>
        </is>
      </c>
      <c r="F666" s="208" t="inlineStr">
        <is>
          <t>Vínculo indirecto o histórico con PEP, sin poder de decisión actual.</t>
        </is>
      </c>
      <c r="G666" s="208" t="inlineStr">
        <is>
          <t>Cliente sin condición PEP ni relación con personas expuestas.</t>
        </is>
      </c>
    </row>
    <row r="667" ht="18.75" customHeight="1" s="173">
      <c r="A667" s="208">
        <f>B667&amp;"-"&amp;C667</f>
        <v/>
      </c>
      <c r="B667" s="344" t="inlineStr">
        <is>
          <t>XIV - CEXT: Vehículos, máquinas, blindaje, etc.</t>
        </is>
      </c>
      <c r="C667" s="345" t="n">
        <v>12</v>
      </c>
      <c r="D667" s="208" t="inlineStr">
        <is>
          <t>Coincidencia en listas de personas bloqueadas o de sanciones</t>
        </is>
      </c>
      <c r="E667" s="208" t="inlineStr">
        <is>
          <t>El importador o exportador, su beneficiario controlador, apoderado o contraparte aparece en la Lista de Personas Bloqueadas, en listas de sanciones o en listas de organizaciones terroristas, o presenta una coincidencia fuerte que no ha sido descartada.</t>
        </is>
      </c>
      <c r="F667" s="208" t="inlineStr">
        <is>
          <t>Se detecta coincidencia parcial u homonimia respecto del importador o exportador o de alguna persona relacionada, y el descarte se encuentra en proceso con constancia documental.</t>
        </is>
      </c>
      <c r="G667" s="208" t="inlineStr">
        <is>
          <t>Búsqueda realizada y documentada sobre el importador o exportador y sus personas relacionadas, sin coincidencias.</t>
        </is>
      </c>
    </row>
    <row r="668" ht="18.75" customHeight="1" s="173">
      <c r="A668" s="208">
        <f>B668&amp;"-"&amp;C668</f>
        <v/>
      </c>
      <c r="B668" s="344" t="inlineStr">
        <is>
          <t>XIV - CEXT: Vehículos, máquinas, blindaje, etc.</t>
        </is>
      </c>
      <c r="C668" s="345" t="n">
        <v>13</v>
      </c>
      <c r="D668" s="208" t="inlineStr">
        <is>
          <t>Identificación y complejidad del Beneficiario Controlador</t>
        </is>
      </c>
      <c r="E668" s="208" t="inlineStr">
        <is>
          <t>No se logra identificar al beneficiario controlador del importador o exportador, o la estructura interpone dos o más niveles societarios, fiduciarios o vehículos constituidos en el extranjero para llegar al 25 por ciento.</t>
        </is>
      </c>
      <c r="F668" s="208" t="inlineStr">
        <is>
          <t>Beneficiario controlador identificado, pero a través de una estructura de más de un nivel o con participación indirecta que exigió reconstruir la cadena de control con documentos.</t>
        </is>
      </c>
      <c r="G668" s="208" t="inlineStr">
        <is>
          <t>Beneficiario controlador identificado de forma directa y documentada: persona física que posee al menos el 25 por ciento o que ejerce el control por otra vía acreditada.</t>
        </is>
      </c>
    </row>
    <row r="669" ht="18.75" customHeight="1" s="173">
      <c r="A669" s="208">
        <f>B669&amp;"-"&amp;C669</f>
        <v/>
      </c>
      <c r="B669" s="344" t="inlineStr">
        <is>
          <t>XIV - CEXT: Vehículos, máquinas, blindaje, etc.</t>
        </is>
      </c>
      <c r="C669" s="345" t="n">
        <v>14</v>
      </c>
      <c r="D669" s="208" t="inlineStr">
        <is>
          <t>País / jurisdicción donde se realiza la operación</t>
        </is>
      </c>
      <c r="E669" s="208" t="inlineStr">
        <is>
          <t>Operación realizada con o desde jurisdicción de alto riesgo.</t>
        </is>
      </c>
      <c r="F669" s="208" t="inlineStr">
        <is>
          <t>Operación con contraparte en jurisdicción de riesgo intermedio.</t>
        </is>
      </c>
      <c r="G669" s="208" t="inlineStr">
        <is>
          <t>Operación nacional o con jurisdicción cooperante y transparente.</t>
        </is>
      </c>
    </row>
    <row r="670" ht="18.75" customHeight="1" s="173">
      <c r="A670" s="208">
        <f>B670&amp;"-"&amp;C670</f>
        <v/>
      </c>
      <c r="B670" s="344" t="inlineStr">
        <is>
          <t>XIV - CEXT: Vehículos, máquinas, blindaje, etc.</t>
        </is>
      </c>
      <c r="C670" s="345" t="n">
        <v>15</v>
      </c>
      <c r="D670" s="208" t="inlineStr">
        <is>
          <t>Área geográfica nacional de la operación</t>
        </is>
      </c>
      <c r="E670" s="208" t="inlineStr">
        <is>
          <t>Zona de alta incidencia delictiva, marginación o franja fronteriza.</t>
        </is>
      </c>
      <c r="F670" s="208" t="inlineStr">
        <is>
          <t>Zona urbana de riesgo intermedio sin alertas relevantes.</t>
        </is>
      </c>
      <c r="G670" s="208" t="inlineStr">
        <is>
          <t>Zona de baja incidencia con presencia institucional.</t>
        </is>
      </c>
    </row>
    <row r="671" ht="18.75" customHeight="1" s="173">
      <c r="A671" s="208">
        <f>B671&amp;"-"&amp;C671</f>
        <v/>
      </c>
      <c r="B671" s="344" t="inlineStr">
        <is>
          <t>XIV - CEXT: Vehículos, máquinas, blindaje, etc.</t>
        </is>
      </c>
      <c r="C671" s="345" t="n">
        <v>16</v>
      </c>
      <c r="D671" s="208" t="inlineStr">
        <is>
          <t>Vínculo con jurisdicciones sancionadas, en conflicto o de acción requerida por el GAFI</t>
        </is>
      </c>
      <c r="E671" s="208" t="inlineStr">
        <is>
          <t>Existe exposición a jurisdicciones sancionadas, en conflicto armado o de acción requerida del GAFI, por la vía de origen o destino de la mercancía en el extranjero, por definición de la operación.</t>
        </is>
      </c>
      <c r="F671" s="208" t="inlineStr">
        <is>
          <t>Vínculo con jurisdicciones bajo monitoreo intensificado del GAFI o con deficiencias señaladas en la ENR, sin estar sancionadas ni en conflicto.</t>
        </is>
      </c>
      <c r="G671" s="208" t="inlineStr">
        <is>
          <t>Sin vínculo con jurisdicciones sancionadas, en conflicto o listadas por el GAFI; la operación y sus partes se ubican en plazas sin señalamientos.</t>
        </is>
      </c>
    </row>
    <row r="672" ht="18.75" customHeight="1" s="173">
      <c r="A672" s="208">
        <f>B672&amp;"-"&amp;C672</f>
        <v/>
      </c>
      <c r="B672" s="344" t="inlineStr">
        <is>
          <t>XIV - CEXT: Vehículos, máquinas, blindaje, etc.</t>
        </is>
      </c>
      <c r="C672" s="345" t="n">
        <v>17</v>
      </c>
      <c r="D672" s="208" t="inlineStr">
        <is>
          <t>Congruencia entre el domicilio del Cliente y el lugar de la operación</t>
        </is>
      </c>
      <c r="E672" s="208" t="inlineStr">
        <is>
          <t>El domicilio del importador o exportador no guarda relación económica ni logística con el lugar donde se realiza la importación o exportación de la mercancía, y no existe explicación documentada del desplazamiento.</t>
        </is>
      </c>
      <c r="F672" s="208" t="inlineStr">
        <is>
          <t>Existe distancia relevante entre el domicilio del importador o exportador y el lugar de la operación, con explicación plausible pero no soportada en el expediente.</t>
        </is>
      </c>
      <c r="G672" s="208" t="inlineStr">
        <is>
          <t>El domicilio del importador o exportador corresponde a la plaza donde se realiza la importación o exportación de la mercancía, o el desplazamiento está justificado y documentado.</t>
        </is>
      </c>
    </row>
    <row r="673" ht="18.75" customHeight="1" s="173">
      <c r="A673" s="208">
        <f>B673&amp;"-"&amp;C673</f>
        <v/>
      </c>
      <c r="B673" s="344" t="inlineStr">
        <is>
          <t>XIV - CEXT: Vehículos, máquinas, blindaje, etc.</t>
        </is>
      </c>
      <c r="C673" s="345" t="n">
        <v>18</v>
      </c>
      <c r="D673" s="208" t="inlineStr">
        <is>
          <t>Instrumento monetario</t>
        </is>
      </c>
      <c r="E673" s="208" t="inlineStr">
        <is>
          <t>Pago en efectivo o instrumentos al portador.</t>
        </is>
      </c>
      <c r="F673" s="208" t="inlineStr">
        <is>
          <t>Pago mixto: efectivo combinado con transferencia.</t>
        </is>
      </c>
      <c r="G673" s="208" t="inlineStr">
        <is>
          <t>Pago íntegro a través del sistema financiero.</t>
        </is>
      </c>
    </row>
    <row r="674" ht="18.75" customHeight="1" s="173">
      <c r="A674" s="208">
        <f>B674&amp;"-"&amp;C674</f>
        <v/>
      </c>
      <c r="B674" s="344" t="inlineStr">
        <is>
          <t>XIV - CEXT: Vehículos, máquinas, blindaje, etc.</t>
        </is>
      </c>
      <c r="C674" s="345" t="n">
        <v>19</v>
      </c>
      <c r="D674" s="208" t="inlineStr">
        <is>
          <t>Tipo de moneda</t>
        </is>
      </c>
      <c r="E674" s="208" t="inlineStr">
        <is>
          <t>Operación en moneda extranjera distinta al USD o en criptomonedas.</t>
        </is>
      </c>
      <c r="F674" s="208" t="inlineStr">
        <is>
          <t>Operación pactada en dólares estadounidenses (USD).</t>
        </is>
      </c>
      <c r="G674" s="208" t="inlineStr">
        <is>
          <t>Operación pactada y liquidada en pesos mexicanos.</t>
        </is>
      </c>
    </row>
    <row r="675" ht="18.75" customHeight="1" s="173">
      <c r="A675" s="208">
        <f>B675&amp;"-"&amp;C675</f>
        <v/>
      </c>
      <c r="B675" s="344" t="inlineStr">
        <is>
          <t>XIV - CEXT: Vehículos, máquinas, blindaje, etc.</t>
        </is>
      </c>
      <c r="C675" s="345" t="n">
        <v>20</v>
      </c>
      <c r="D675" s="208" t="inlineStr">
        <is>
          <t>Monto frente a umbrales LFPIORPI</t>
        </is>
      </c>
      <c r="E675" s="208" t="inlineStr">
        <is>
          <t>Operación de alto valor; la actividad genera aviso siempre, sin umbral.</t>
        </is>
      </c>
      <c r="F675" s="208" t="inlineStr">
        <is>
          <t>Operación de valor intermedio; aviso obligatorio en toda operación.</t>
        </is>
      </c>
      <c r="G675" s="208" t="inlineStr">
        <is>
          <t>Operación de bajo valor, aun así sujeta a aviso por regla de 'siempre'.</t>
        </is>
      </c>
    </row>
    <row r="676" ht="18.75" customHeight="1" s="173">
      <c r="A676" s="208">
        <f>B676&amp;"-"&amp;C676</f>
        <v/>
      </c>
      <c r="B676" s="344" t="inlineStr">
        <is>
          <t>XIV - CEXT: Vehículos, máquinas, blindaje, etc.</t>
        </is>
      </c>
      <c r="C676" s="345" t="n">
        <v>21</v>
      </c>
      <c r="D676" s="208" t="inlineStr">
        <is>
          <t>Frecuencia (fraccionamiento)</t>
        </is>
      </c>
      <c r="E676" s="208" t="inlineStr">
        <is>
          <t>Operaciones frecuentes o fraccionadas para dispersar y ocultar el patrón.</t>
        </is>
      </c>
      <c r="F676" s="208" t="inlineStr">
        <is>
          <t>Recurrencia moderada sin patrón claro de fraccionamiento.</t>
        </is>
      </c>
      <c r="G676" s="208" t="inlineStr">
        <is>
          <t>Operación aislada y consistente con el perfil de la empresa.</t>
        </is>
      </c>
    </row>
    <row r="677" ht="18.75" customHeight="1" s="173">
      <c r="A677" s="208">
        <f>B677&amp;"-"&amp;C677</f>
        <v/>
      </c>
      <c r="B677" s="344" t="inlineStr">
        <is>
          <t>XIV - CEXT: Vehículos, máquinas, blindaje, etc.</t>
        </is>
      </c>
      <c r="C677" s="345" t="n">
        <v>22</v>
      </c>
      <c r="D677" s="208" t="inlineStr">
        <is>
          <t>Canal (presencial / no presencial / terceros)</t>
        </is>
      </c>
      <c r="E677" s="208" t="inlineStr">
        <is>
          <t>Operación no presencial o a través de terceros sin contacto directo.</t>
        </is>
      </c>
      <c r="F677" s="208" t="inlineStr">
        <is>
          <t>Operación presencial con intermediación parcial de un tercero.</t>
        </is>
      </c>
      <c r="G677" s="208" t="inlineStr">
        <is>
          <t>Operación presencial directa con el cliente plenamente identificado.</t>
        </is>
      </c>
    </row>
    <row r="678" ht="18.75" customHeight="1" s="173">
      <c r="A678" s="208">
        <f>B678&amp;"-"&amp;C678</f>
        <v/>
      </c>
      <c r="B678" s="344" t="inlineStr">
        <is>
          <t>XIV - CEXT: Vehículos, máquinas, blindaje, etc.</t>
        </is>
      </c>
      <c r="C678" s="345" t="n">
        <v>23</v>
      </c>
      <c r="D678" s="208" t="inlineStr">
        <is>
          <t>Origen de los recursos</t>
        </is>
      </c>
      <c r="E678" s="208" t="inlineStr">
        <is>
          <t>Recursos de origen no acreditable, en efectivo o informal.</t>
        </is>
      </c>
      <c r="F678" s="208" t="inlineStr">
        <is>
          <t>Origen de recursos parcialmente documentado.</t>
        </is>
      </c>
      <c r="G678" s="208" t="inlineStr">
        <is>
          <t>Origen lícito plenamente acreditado y bancarizado.</t>
        </is>
      </c>
    </row>
    <row r="679" ht="18.75" customHeight="1" s="173">
      <c r="A679" s="208">
        <f>B679&amp;"-"&amp;C679</f>
        <v/>
      </c>
      <c r="B679" s="344" t="inlineStr">
        <is>
          <t>XIV - CEXT: Vehículos, máquinas, blindaje, etc.</t>
        </is>
      </c>
      <c r="C679" s="345" t="n">
        <v>24</v>
      </c>
      <c r="D679" s="208" t="inlineStr">
        <is>
          <t>Destino de los recursos</t>
        </is>
      </c>
      <c r="E679" s="208" t="inlineStr">
        <is>
          <t>Bienes o recursos al exterior o a terceros sin justificación comercial.</t>
        </is>
      </c>
      <c r="F679" s="208" t="inlineStr">
        <is>
          <t>Destino parcialmente justificado.</t>
        </is>
      </c>
      <c r="G679" s="208" t="inlineStr">
        <is>
          <t>Destino claro, documentado y congruente con la operación.</t>
        </is>
      </c>
    </row>
    <row r="680" ht="18.75" customHeight="1" s="173">
      <c r="A680" s="208">
        <f>B680&amp;"-"&amp;C680</f>
        <v/>
      </c>
      <c r="B680" s="344" t="inlineStr">
        <is>
          <t>XIV - CEXT: Vehículos, máquinas, blindaje, etc.</t>
        </is>
      </c>
      <c r="C680" s="345" t="n">
        <v>25</v>
      </c>
      <c r="D680" s="208" t="inlineStr">
        <is>
          <t>Canales e instrumentos idóneos para el financiamiento al terrorismo</t>
        </is>
      </c>
      <c r="E680" s="208" t="inlineStr">
        <is>
          <t>La operación se realiza mediante operaciones a través de agentes sin acreditar al propietario final y pagos a terceros, es decir, medios que permiten mover valor en montos pequeños sin identificar al destinatario final.</t>
        </is>
      </c>
      <c r="F680" s="208" t="inlineStr">
        <is>
          <t>Canal mixto o con verificación parcial: hay registro de la operación pero la trazabilidad del destinatario final es incompleta.</t>
        </is>
      </c>
      <c r="G680" s="208" t="inlineStr">
        <is>
          <t>Operación con propietario identificado, pedimento y pago bancarizado congruentes, con trazabilidad completa del origen y del destinatario.</t>
        </is>
      </c>
    </row>
    <row r="681" ht="18.75" customHeight="1" s="173">
      <c r="A681" s="208">
        <f>B681&amp;"-"&amp;C681</f>
        <v/>
      </c>
      <c r="B681" s="344" t="inlineStr">
        <is>
          <t>XV - Arrendamiento de bienes inmuebles (uso o goce)</t>
        </is>
      </c>
      <c r="C681" s="345" t="n">
        <v>1</v>
      </c>
      <c r="D681" s="208" t="inlineStr">
        <is>
          <t>Valor del producto o servicio</t>
        </is>
      </c>
      <c r="E681" s="208" t="inlineStr">
        <is>
          <t>Arrendamiento de inmueble de alto valor mensual, muy superior al mercado de la zona.</t>
        </is>
      </c>
      <c r="F681" s="208" t="inlineStr">
        <is>
          <t>Arrendamiento de valor mensual intermedio acorde al mercado.</t>
        </is>
      </c>
      <c r="G681" s="208" t="inlineStr">
        <is>
          <t>Arrendamiento de bajo valor mensual dentro de rangos regulados.</t>
        </is>
      </c>
    </row>
    <row r="682" ht="18.75" customHeight="1" s="173">
      <c r="A682" s="208">
        <f>B682&amp;"-"&amp;C682</f>
        <v/>
      </c>
      <c r="B682" s="344" t="inlineStr">
        <is>
          <t>XV - Arrendamiento de bienes inmuebles (uso o goce)</t>
        </is>
      </c>
      <c r="C682" s="345" t="n">
        <v>2</v>
      </c>
      <c r="D682" s="208" t="inlineStr">
        <is>
          <t>Liquidez / convertibilidad</t>
        </is>
      </c>
      <c r="E682" s="208" t="inlineStr">
        <is>
          <t>Rentas cobradas en efectivo, fácilmente convertibles y sin trazabilidad.</t>
        </is>
      </c>
      <c r="F682" s="208" t="inlineStr">
        <is>
          <t>Rentas con cobro parcial en efectivo y parte en transferencia.</t>
        </is>
      </c>
      <c r="G682" s="208" t="inlineStr">
        <is>
          <t>Rentas trazables por transferencia bancaria, baja convertibilidad.</t>
        </is>
      </c>
    </row>
    <row r="683" ht="18.75" customHeight="1" s="173">
      <c r="A683" s="208">
        <f>B683&amp;"-"&amp;C683</f>
        <v/>
      </c>
      <c r="B683" s="344" t="inlineStr">
        <is>
          <t>XV - Arrendamiento de bienes inmuebles (uso o goce)</t>
        </is>
      </c>
      <c r="C683" s="345" t="n">
        <v>3</v>
      </c>
      <c r="D683" s="208" t="inlineStr">
        <is>
          <t>Anonimato / identificación del beneficiario</t>
        </is>
      </c>
      <c r="E683" s="208" t="inlineStr">
        <is>
          <t>Arrendatario de difícil identificación o que opera vía tercero que oculta al usuario real.</t>
        </is>
      </c>
      <c r="F683" s="208" t="inlineStr">
        <is>
          <t>Arrendatario identificado con soporte parcial de su identidad.</t>
        </is>
      </c>
      <c r="G683" s="208" t="inlineStr">
        <is>
          <t>Arrendatario plenamente identificado y verificado.</t>
        </is>
      </c>
    </row>
    <row r="684" ht="18.75" customHeight="1" s="173">
      <c r="A684" s="208">
        <f>B684&amp;"-"&amp;C684</f>
        <v/>
      </c>
      <c r="B684" s="344" t="inlineStr">
        <is>
          <t>XV - Arrendamiento de bienes inmuebles (uso o goce)</t>
        </is>
      </c>
      <c r="C684" s="345" t="n">
        <v>4</v>
      </c>
      <c r="D684" s="208" t="inlineStr">
        <is>
          <t>Transferencia u ocultamiento de valor</t>
        </is>
      </c>
      <c r="E684" s="208" t="inlineStr">
        <is>
          <t>El arrendamiento sirve de fachada para introducir o estratificar recursos ilícitos.</t>
        </is>
      </c>
      <c r="F684" s="208" t="inlineStr">
        <is>
          <t>Riesgo moderado de ocultamiento con pagos parcialmente trazables.</t>
        </is>
      </c>
      <c r="G684" s="208" t="inlineStr">
        <is>
          <t>Rentas bancarizadas y trazables con contrato formal.</t>
        </is>
      </c>
    </row>
    <row r="685" ht="18.75" customHeight="1" s="173">
      <c r="A685" s="208">
        <f>B685&amp;"-"&amp;C685</f>
        <v/>
      </c>
      <c r="B685" s="344" t="inlineStr">
        <is>
          <t>XV - Arrendamiento de bienes inmuebles (uso o goce)</t>
        </is>
      </c>
      <c r="C685" s="345" t="n">
        <v>5</v>
      </c>
      <c r="D685" s="208" t="inlineStr">
        <is>
          <t>Exposición del acto u operación al financiamiento al terrorismo</t>
        </is>
      </c>
      <c r="E685" s="208" t="inlineStr">
        <is>
          <t>Arrendamiento de inmuebles a favor de personas o asociaciones señaladas en listas, o de espacios utilizados como base logística, de resguardo o de reunión por grupos con esa vinculación.</t>
        </is>
      </c>
      <c r="F685" s="208" t="inlineStr">
        <is>
          <t>Arrendatarios que no acreditan su actividad o rentas pagadas por terceros, sin coincidencias en listas.</t>
        </is>
      </c>
      <c r="G685" s="208" t="inlineStr">
        <is>
          <t>Arrendatario identificado, uso declarado del inmueble congruente y renta bancarizada.</t>
        </is>
      </c>
    </row>
    <row r="686" ht="18.75" customHeight="1" s="173">
      <c r="A686" s="208">
        <f>B686&amp;"-"&amp;C686</f>
        <v/>
      </c>
      <c r="B686" s="344" t="inlineStr">
        <is>
          <t>XV - Arrendamiento de bienes inmuebles (uso o goce)</t>
        </is>
      </c>
      <c r="C686" s="345" t="n">
        <v>6</v>
      </c>
      <c r="D686" s="208" t="inlineStr">
        <is>
          <t>Tipo de persona y estructura</t>
        </is>
      </c>
      <c r="E686" s="208" t="inlineStr">
        <is>
          <t>Arrendatario persona moral extranjera, fideicomiso o estructura opaca.</t>
        </is>
      </c>
      <c r="F686" s="208" t="inlineStr">
        <is>
          <t>Arrendatario persona moral nacional con estructura clara.</t>
        </is>
      </c>
      <c r="G686" s="208" t="inlineStr">
        <is>
          <t>Arrendatario persona física plenamente identificado.</t>
        </is>
      </c>
    </row>
    <row r="687" ht="18.75" customHeight="1" s="173">
      <c r="A687" s="208">
        <f>B687&amp;"-"&amp;C687</f>
        <v/>
      </c>
      <c r="B687" s="344" t="inlineStr">
        <is>
          <t>XV - Arrendamiento de bienes inmuebles (uso o goce)</t>
        </is>
      </c>
      <c r="C687" s="345" t="n">
        <v>7</v>
      </c>
      <c r="D687" s="208" t="inlineStr">
        <is>
          <t>Edad / fecha de constitución</t>
        </is>
      </c>
      <c r="E687" s="208" t="inlineStr">
        <is>
          <t>Arrendatario persona física muy joven o empresa de reciente creación sin historial.</t>
        </is>
      </c>
      <c r="F687" s="208" t="inlineStr">
        <is>
          <t>Empresa con antigüedad moderada.</t>
        </is>
      </c>
      <c r="G687" s="208" t="inlineStr">
        <is>
          <t>Arrendatario con trayectoria acreditable.</t>
        </is>
      </c>
    </row>
    <row r="688" ht="18.75" customHeight="1" s="173">
      <c r="A688" s="208">
        <f>B688&amp;"-"&amp;C688</f>
        <v/>
      </c>
      <c r="B688" s="344" t="inlineStr">
        <is>
          <t>XV - Arrendamiento de bienes inmuebles (uso o goce)</t>
        </is>
      </c>
      <c r="C688" s="345" t="n">
        <v>8</v>
      </c>
      <c r="D688" s="208" t="inlineStr">
        <is>
          <t>Actividad económica o giro (y fuente de ingresos)</t>
        </is>
      </c>
      <c r="E688" s="208" t="inlineStr">
        <is>
          <t>Giro informal o sensible del arrendatario, uso intensivo de efectivo o ligado a otras AV.</t>
        </is>
      </c>
      <c r="F688" s="208" t="inlineStr">
        <is>
          <t>Giro formal con manejo parcial de efectivo.</t>
        </is>
      </c>
      <c r="G688" s="208" t="inlineStr">
        <is>
          <t>Giro formal con ingresos documentados y bancarizados.</t>
        </is>
      </c>
    </row>
    <row r="689" ht="18.75" customHeight="1" s="173">
      <c r="A689" s="208">
        <f>B689&amp;"-"&amp;C689</f>
        <v/>
      </c>
      <c r="B689" s="344" t="inlineStr">
        <is>
          <t>XV - Arrendamiento de bienes inmuebles (uso o goce)</t>
        </is>
      </c>
      <c r="C689" s="345" t="n">
        <v>9</v>
      </c>
      <c r="D689" s="208" t="inlineStr">
        <is>
          <t>Nacionalidad del cliente</t>
        </is>
      </c>
      <c r="E689" s="208" t="inlineStr">
        <is>
          <t>Nacionalidad del arrendatario en listas GAFI, sancionado o régimen fiscal preferente.</t>
        </is>
      </c>
      <c r="F689" s="208" t="inlineStr">
        <is>
          <t>Nacionalidad de país sin deficiencias relevantes en PLD.</t>
        </is>
      </c>
      <c r="G689" s="208" t="inlineStr">
        <is>
          <t>Nacionalidad mexicana o de país con controles PLD robustos.</t>
        </is>
      </c>
    </row>
    <row r="690" ht="18.75" customHeight="1" s="173">
      <c r="A690" s="208">
        <f>B690&amp;"-"&amp;C690</f>
        <v/>
      </c>
      <c r="B690" s="344" t="inlineStr">
        <is>
          <t>XV - Arrendamiento de bienes inmuebles (uso o goce)</t>
        </is>
      </c>
      <c r="C690" s="345" t="n">
        <v>10</v>
      </c>
      <c r="D690" s="208" t="inlineStr">
        <is>
          <t>País (y en su caso, estado) de residencia del cliente</t>
        </is>
      </c>
      <c r="E690" s="208" t="inlineStr">
        <is>
          <t>Residencia del arrendatario en jurisdicción de alto riesgo o no verificable.</t>
        </is>
      </c>
      <c r="F690" s="208" t="inlineStr">
        <is>
          <t>Residencia verificable en jurisdicción de riesgo medio.</t>
        </is>
      </c>
      <c r="G690" s="208" t="inlineStr">
        <is>
          <t>Residencia nacional comprobable y estable.</t>
        </is>
      </c>
    </row>
    <row r="691" ht="18.75" customHeight="1" s="173">
      <c r="A691" s="208">
        <f>B691&amp;"-"&amp;C691</f>
        <v/>
      </c>
      <c r="B691" s="344" t="inlineStr">
        <is>
          <t>XV - Arrendamiento de bienes inmuebles (uso o goce)</t>
        </is>
      </c>
      <c r="C691" s="345" t="n">
        <v>11</v>
      </c>
      <c r="D691" s="208" t="inlineStr">
        <is>
          <t>Condición PEP</t>
        </is>
      </c>
      <c r="E691" s="208" t="inlineStr">
        <is>
          <t>Arrendatario PEP nacional o extranjera, o allegado a PEP.</t>
        </is>
      </c>
      <c r="F691" s="208" t="inlineStr">
        <is>
          <t>Vínculo indirecto o lejano con PEP.</t>
        </is>
      </c>
      <c r="G691" s="208" t="inlineStr">
        <is>
          <t>Sin condición ni vínculo PEP.</t>
        </is>
      </c>
    </row>
    <row r="692" ht="18.75" customHeight="1" s="173">
      <c r="A692" s="208">
        <f>B692&amp;"-"&amp;C692</f>
        <v/>
      </c>
      <c r="B692" s="344" t="inlineStr">
        <is>
          <t>XV - Arrendamiento de bienes inmuebles (uso o goce)</t>
        </is>
      </c>
      <c r="C692" s="345" t="n">
        <v>12</v>
      </c>
      <c r="D692" s="208" t="inlineStr">
        <is>
          <t>Coincidencia en listas de personas bloqueadas o de sanciones</t>
        </is>
      </c>
      <c r="E692" s="208" t="inlineStr">
        <is>
          <t>El arrendatario, su beneficiario controlador, apoderado o contraparte aparece en la Lista de Personas Bloqueadas, en listas de sanciones o en listas de organizaciones terroristas, o presenta una coincidencia fuerte que no ha sido descartada.</t>
        </is>
      </c>
      <c r="F692" s="208" t="inlineStr">
        <is>
          <t>Se detecta coincidencia parcial u homonimia respecto del arrendatario o de alguna persona relacionada, y el descarte se encuentra en proceso con constancia documental.</t>
        </is>
      </c>
      <c r="G692" s="208" t="inlineStr">
        <is>
          <t>Búsqueda realizada y documentada sobre el arrendatario y sus personas relacionadas, sin coincidencias.</t>
        </is>
      </c>
    </row>
    <row r="693" ht="18.75" customHeight="1" s="173">
      <c r="A693" s="208">
        <f>B693&amp;"-"&amp;C693</f>
        <v/>
      </c>
      <c r="B693" s="344" t="inlineStr">
        <is>
          <t>XV - Arrendamiento de bienes inmuebles (uso o goce)</t>
        </is>
      </c>
      <c r="C693" s="345" t="n">
        <v>13</v>
      </c>
      <c r="D693" s="208" t="inlineStr">
        <is>
          <t>Identificación y complejidad del Beneficiario Controlador</t>
        </is>
      </c>
      <c r="E693" s="208" t="inlineStr">
        <is>
          <t>No se logra identificar al beneficiario controlador del arrendatario, o la estructura interpone dos o más niveles societarios, fiduciarios o vehículos constituidos en el extranjero para llegar al 25 por ciento.</t>
        </is>
      </c>
      <c r="F693" s="208" t="inlineStr">
        <is>
          <t>Beneficiario controlador identificado, pero a través de una estructura de más de un nivel o con participación indirecta que exigió reconstruir la cadena de control con documentos.</t>
        </is>
      </c>
      <c r="G693" s="208" t="inlineStr">
        <is>
          <t>Beneficiario controlador identificado de forma directa y documentada: persona física que posee al menos el 25 por ciento o que ejerce el control por otra vía acreditada.</t>
        </is>
      </c>
    </row>
    <row r="694" ht="18.75" customHeight="1" s="173">
      <c r="A694" s="208">
        <f>B694&amp;"-"&amp;C694</f>
        <v/>
      </c>
      <c r="B694" s="344" t="inlineStr">
        <is>
          <t>XV - Arrendamiento de bienes inmuebles (uso o goce)</t>
        </is>
      </c>
      <c r="C694" s="345" t="n">
        <v>14</v>
      </c>
      <c r="D694" s="208" t="inlineStr">
        <is>
          <t>País / jurisdicción donde se realiza la operación</t>
        </is>
      </c>
      <c r="E694" s="208" t="inlineStr">
        <is>
          <t>Pagos de renta provenientes de o canalizados hacia jurisdicción de alto riesgo.</t>
        </is>
      </c>
      <c r="F694" s="208" t="inlineStr">
        <is>
          <t>Componente internacional de riesgo medio.</t>
        </is>
      </c>
      <c r="G694" s="208" t="inlineStr">
        <is>
          <t>Operación de arrendamiento íntegramente nacional.</t>
        </is>
      </c>
    </row>
    <row r="695" ht="18.75" customHeight="1" s="173">
      <c r="A695" s="208">
        <f>B695&amp;"-"&amp;C695</f>
        <v/>
      </c>
      <c r="B695" s="344" t="inlineStr">
        <is>
          <t>XV - Arrendamiento de bienes inmuebles (uso o goce)</t>
        </is>
      </c>
      <c r="C695" s="345" t="n">
        <v>15</v>
      </c>
      <c r="D695" s="208" t="inlineStr">
        <is>
          <t>Área geográfica nacional de la operación</t>
        </is>
      </c>
      <c r="E695" s="208" t="inlineStr">
        <is>
          <t>Inmueble ubicado en zona de alta incidencia delictiva, marginación o frontera.</t>
        </is>
      </c>
      <c r="F695" s="208" t="inlineStr">
        <is>
          <t>Zona urbana consolidada de riesgo intermedio.</t>
        </is>
      </c>
      <c r="G695" s="208" t="inlineStr">
        <is>
          <t>Zona de baja incidencia delictiva y buena trazabilidad.</t>
        </is>
      </c>
    </row>
    <row r="696" ht="18.75" customHeight="1" s="173">
      <c r="A696" s="208">
        <f>B696&amp;"-"&amp;C696</f>
        <v/>
      </c>
      <c r="B696" s="344" t="inlineStr">
        <is>
          <t>XV - Arrendamiento de bienes inmuebles (uso o goce)</t>
        </is>
      </c>
      <c r="C696" s="345" t="n">
        <v>16</v>
      </c>
      <c r="D696" s="208" t="inlineStr">
        <is>
          <t>Vínculo con jurisdicciones sancionadas, en conflicto o de acción requerida por el GAFI</t>
        </is>
      </c>
      <c r="E696" s="208" t="inlineStr">
        <is>
          <t>Existe exposición a jurisdicciones sancionadas, en conflicto armado o de acción requerida del GAFI, por la vía de arrendatarios no residentes o renta pagada desde el extranjero.</t>
        </is>
      </c>
      <c r="F696" s="208" t="inlineStr">
        <is>
          <t>Vínculo con jurisdicciones bajo monitoreo intensificado del GAFI o con deficiencias señaladas en la ENR, sin estar sancionadas ni en conflicto.</t>
        </is>
      </c>
      <c r="G696" s="208" t="inlineStr">
        <is>
          <t>Sin vínculo con jurisdicciones sancionadas, en conflicto o listadas por el GAFI; la operación y sus partes se ubican en plazas sin señalamientos.</t>
        </is>
      </c>
    </row>
    <row r="697" ht="18.75" customHeight="1" s="173">
      <c r="A697" s="208">
        <f>B697&amp;"-"&amp;C697</f>
        <v/>
      </c>
      <c r="B697" s="344" t="inlineStr">
        <is>
          <t>XV - Arrendamiento de bienes inmuebles (uso o goce)</t>
        </is>
      </c>
      <c r="C697" s="345" t="n">
        <v>17</v>
      </c>
      <c r="D697" s="208" t="inlineStr">
        <is>
          <t>Congruencia entre el domicilio del Cliente y el lugar de la operación</t>
        </is>
      </c>
      <c r="E697" s="208" t="inlineStr">
        <is>
          <t>El domicilio del arrendatario no guarda relación económica ni logística con el lugar donde se realiza el arrendamiento del inmueble, y no existe explicación documentada del desplazamiento.</t>
        </is>
      </c>
      <c r="F697" s="208" t="inlineStr">
        <is>
          <t>Existe distancia relevante entre el domicilio del arrendatario y el lugar de la operación, con explicación plausible pero no soportada en el expediente.</t>
        </is>
      </c>
      <c r="G697" s="208" t="inlineStr">
        <is>
          <t>El domicilio del arrendatario corresponde a la plaza donde se realiza el arrendamiento del inmueble, o el desplazamiento está justificado y documentado.</t>
        </is>
      </c>
    </row>
    <row r="698" ht="18.75" customHeight="1" s="173">
      <c r="A698" s="208">
        <f>B698&amp;"-"&amp;C698</f>
        <v/>
      </c>
      <c r="B698" s="344" t="inlineStr">
        <is>
          <t>XV - Arrendamiento de bienes inmuebles (uso o goce)</t>
        </is>
      </c>
      <c r="C698" s="345" t="n">
        <v>18</v>
      </c>
      <c r="D698" s="208" t="inlineStr">
        <is>
          <t>Instrumento monetario</t>
        </is>
      </c>
      <c r="E698" s="208" t="inlineStr">
        <is>
          <t>Renta pagada en efectivo, instrumentos al portador o criptoactivos.</t>
        </is>
      </c>
      <c r="F698" s="208" t="inlineStr">
        <is>
          <t>Pagos mixtos con efectivo parcial y transferencias.</t>
        </is>
      </c>
      <c r="G698" s="208" t="inlineStr">
        <is>
          <t>Renta pagada íntegramente por transferencia bancaria.</t>
        </is>
      </c>
    </row>
    <row r="699" ht="18.75" customHeight="1" s="173">
      <c r="A699" s="208">
        <f>B699&amp;"-"&amp;C699</f>
        <v/>
      </c>
      <c r="B699" s="344" t="inlineStr">
        <is>
          <t>XV - Arrendamiento de bienes inmuebles (uso o goce)</t>
        </is>
      </c>
      <c r="C699" s="345" t="n">
        <v>19</v>
      </c>
      <c r="D699" s="208" t="inlineStr">
        <is>
          <t>Tipo de moneda</t>
        </is>
      </c>
      <c r="E699" s="208" t="inlineStr">
        <is>
          <t>Renta pagada en moneda extranjera distinta al USD o en criptomonedas.</t>
        </is>
      </c>
      <c r="F699" s="208" t="inlineStr">
        <is>
          <t>Renta pagada en USD con soporte documental.</t>
        </is>
      </c>
      <c r="G699" s="208" t="inlineStr">
        <is>
          <t>Renta pagada en pesos mexicanos.</t>
        </is>
      </c>
    </row>
    <row r="700" ht="18.75" customHeight="1" s="173">
      <c r="A700" s="208">
        <f>B700&amp;"-"&amp;C700</f>
        <v/>
      </c>
      <c r="B700" s="344" t="inlineStr">
        <is>
          <t>XV - Arrendamiento de bienes inmuebles (uso o goce)</t>
        </is>
      </c>
      <c r="C700" s="345" t="n">
        <v>20</v>
      </c>
      <c r="D700" s="208" t="inlineStr">
        <is>
          <t>Monto frente a umbrales LFPIORPI</t>
        </is>
      </c>
      <c r="E700" s="208" t="inlineStr">
        <is>
          <t>Renta mensual supera ampliamente el umbral de aviso (3,210 UMA).</t>
        </is>
      </c>
      <c r="F700" s="208" t="inlineStr">
        <is>
          <t>Renta cercana al umbral de aviso sin superarlo.</t>
        </is>
      </c>
      <c r="G700" s="208" t="inlineStr">
        <is>
          <t>Renta muy por debajo del umbral de aviso.</t>
        </is>
      </c>
    </row>
    <row r="701" ht="18.75" customHeight="1" s="173">
      <c r="A701" s="208">
        <f>B701&amp;"-"&amp;C701</f>
        <v/>
      </c>
      <c r="B701" s="344" t="inlineStr">
        <is>
          <t>XV - Arrendamiento de bienes inmuebles (uso o goce)</t>
        </is>
      </c>
      <c r="C701" s="345" t="n">
        <v>21</v>
      </c>
      <c r="D701" s="208" t="inlineStr">
        <is>
          <t>Frecuencia (fraccionamiento)</t>
        </is>
      </c>
      <c r="E701" s="208" t="inlineStr">
        <is>
          <t>Pagos de renta adelantados, frecuentes o fraccionados para eludir umbrales.</t>
        </is>
      </c>
      <c r="F701" s="208" t="inlineStr">
        <is>
          <t>Pagos periódicos conforme a contrato con leve variabilidad.</t>
        </is>
      </c>
      <c r="G701" s="208" t="inlineStr">
        <is>
          <t>Pago mensual regular y trazable sin fraccionamiento.</t>
        </is>
      </c>
    </row>
    <row r="702" ht="18.75" customHeight="1" s="173">
      <c r="A702" s="208">
        <f>B702&amp;"-"&amp;C702</f>
        <v/>
      </c>
      <c r="B702" s="344" t="inlineStr">
        <is>
          <t>XV - Arrendamiento de bienes inmuebles (uso o goce)</t>
        </is>
      </c>
      <c r="C702" s="345" t="n">
        <v>22</v>
      </c>
      <c r="D702" s="208" t="inlineStr">
        <is>
          <t>Canal (presencial / no presencial / terceros)</t>
        </is>
      </c>
      <c r="E702" s="208" t="inlineStr">
        <is>
          <t>Contratación no presencial o vía terceros sin contacto directo con el arrendatario.</t>
        </is>
      </c>
      <c r="F702" s="208" t="inlineStr">
        <is>
          <t>Contacto parcial o representación con poder documentado.</t>
        </is>
      </c>
      <c r="G702" s="208" t="inlineStr">
        <is>
          <t>Contratación presencial con identificación directa del arrendatario.</t>
        </is>
      </c>
    </row>
    <row r="703" ht="18.75" customHeight="1" s="173">
      <c r="A703" s="208">
        <f>B703&amp;"-"&amp;C703</f>
        <v/>
      </c>
      <c r="B703" s="344" t="inlineStr">
        <is>
          <t>XV - Arrendamiento de bienes inmuebles (uso o goce)</t>
        </is>
      </c>
      <c r="C703" s="345" t="n">
        <v>23</v>
      </c>
      <c r="D703" s="208" t="inlineStr">
        <is>
          <t>Origen de los recursos</t>
        </is>
      </c>
      <c r="E703" s="208" t="inlineStr">
        <is>
          <t>Origen de los pagos de renta no acreditable, en efectivo o informal.</t>
        </is>
      </c>
      <c r="F703" s="208" t="inlineStr">
        <is>
          <t>Origen parcialmente documentado con soporte incompleto.</t>
        </is>
      </c>
      <c r="G703" s="208" t="inlineStr">
        <is>
          <t>Origen de los pagos acreditado documentalmente.</t>
        </is>
      </c>
    </row>
    <row r="704" ht="18.75" customHeight="1" s="173">
      <c r="A704" s="208">
        <f>B704&amp;"-"&amp;C704</f>
        <v/>
      </c>
      <c r="B704" s="344" t="inlineStr">
        <is>
          <t>XV - Arrendamiento de bienes inmuebles (uso o goce)</t>
        </is>
      </c>
      <c r="C704" s="345" t="n">
        <v>24</v>
      </c>
      <c r="D704" s="208" t="inlineStr">
        <is>
          <t>Destino de los recursos</t>
        </is>
      </c>
      <c r="E704" s="208" t="inlineStr">
        <is>
          <t>Destino del inmueble o de los recursos opaco, hacia terceros o sin justificación.</t>
        </is>
      </c>
      <c r="F704" s="208" t="inlineStr">
        <is>
          <t>Destino declarado con justificación parcial.</t>
        </is>
      </c>
      <c r="G704" s="208" t="inlineStr">
        <is>
          <t>Destino claro y lícito, uso conforme al contrato.</t>
        </is>
      </c>
    </row>
    <row r="705" ht="18.75" customHeight="1" s="173">
      <c r="A705" s="208">
        <f>B705&amp;"-"&amp;C705</f>
        <v/>
      </c>
      <c r="B705" s="344" t="inlineStr">
        <is>
          <t>XV - Arrendamiento de bienes inmuebles (uso o goce)</t>
        </is>
      </c>
      <c r="C705" s="345" t="n">
        <v>25</v>
      </c>
      <c r="D705" s="208" t="inlineStr">
        <is>
          <t>Canales e instrumentos idóneos para el financiamiento al terrorismo</t>
        </is>
      </c>
      <c r="E705" s="208" t="inlineStr">
        <is>
          <t>La operación se realiza mediante contratación a distancia sin verificación de identidad y renta pagada en efectivo por terceros, es decir, medios que permiten mover valor en montos pequeños sin identificar al destinatario final.</t>
        </is>
      </c>
      <c r="F705" s="208" t="inlineStr">
        <is>
          <t>Canal mixto o con verificación parcial: hay registro de la operación pero la trazabilidad del destinatario final es incompleta.</t>
        </is>
      </c>
      <c r="G705" s="208" t="inlineStr">
        <is>
          <t>Contratación con arrendatario identificado y renta pagada por transferencia desde cuenta propia, con trazabilidad completa del origen y del destinatario.</t>
        </is>
      </c>
    </row>
    <row r="706" ht="18.75" customHeight="1" s="173">
      <c r="A706" s="208">
        <f>B706&amp;"-"&amp;C706</f>
        <v/>
      </c>
      <c r="B706" s="344" t="inlineStr">
        <is>
          <t>XVI - Activos virtuales (PSAV): operación de intercambio/transferencia</t>
        </is>
      </c>
      <c r="C706" s="345" t="n">
        <v>1</v>
      </c>
      <c r="D706" s="208" t="inlineStr">
        <is>
          <t>Valor del producto o servicio</t>
        </is>
      </c>
      <c r="E706" s="208" t="inlineStr">
        <is>
          <t>Intercambio o transferencia de activos virtuales por montos elevados en una sola operación.</t>
        </is>
      </c>
      <c r="F706" s="208" t="inlineStr">
        <is>
          <t>Operaciones de intercambio o transferencia con montos moderados.</t>
        </is>
      </c>
      <c r="G706" s="208" t="inlineStr">
        <is>
          <t>Operaciones de bajo monto en MXN con activos de amplia trazabilidad.</t>
        </is>
      </c>
    </row>
    <row r="707" ht="18.75" customHeight="1" s="173">
      <c r="A707" s="208">
        <f>B707&amp;"-"&amp;C707</f>
        <v/>
      </c>
      <c r="B707" s="344" t="inlineStr">
        <is>
          <t>XVI - Activos virtuales (PSAV): operación de intercambio/transferencia</t>
        </is>
      </c>
      <c r="C707" s="345" t="n">
        <v>2</v>
      </c>
      <c r="D707" s="208" t="inlineStr">
        <is>
          <t>Liquidez / convertibilidad</t>
        </is>
      </c>
      <c r="E707" s="208" t="inlineStr">
        <is>
          <t>Activos de conversión inmediata a fiat o efectivo vía wallets no custodiadas.</t>
        </is>
      </c>
      <c r="F707" s="208" t="inlineStr">
        <is>
          <t>Activos convertibles con pasos intermedios en exchange.</t>
        </is>
      </c>
      <c r="G707" s="208" t="inlineStr">
        <is>
          <t>Operación con liquidación bancarizada y conversión trazable.</t>
        </is>
      </c>
    </row>
    <row r="708" ht="18.75" customHeight="1" s="173">
      <c r="A708" s="208">
        <f>B708&amp;"-"&amp;C708</f>
        <v/>
      </c>
      <c r="B708" s="344" t="inlineStr">
        <is>
          <t>XVI - Activos virtuales (PSAV): operación de intercambio/transferencia</t>
        </is>
      </c>
      <c r="C708" s="345" t="n">
        <v>3</v>
      </c>
      <c r="D708" s="208" t="inlineStr">
        <is>
          <t>Anonimato / identificación del beneficiario</t>
        </is>
      </c>
      <c r="E708" s="208" t="inlineStr">
        <is>
          <t>Uso de wallets no custodiadas o mixers que ocultan al beneficiario final.</t>
        </is>
      </c>
      <c r="F708" s="208" t="inlineStr">
        <is>
          <t>Identificación parcial del titular de la wallet destino.</t>
        </is>
      </c>
      <c r="G708" s="208" t="inlineStr">
        <is>
          <t>KYC completo y beneficiario final con wallet atribuible.</t>
        </is>
      </c>
    </row>
    <row r="709" ht="18.75" customHeight="1" s="173">
      <c r="A709" s="208">
        <f>B709&amp;"-"&amp;C709</f>
        <v/>
      </c>
      <c r="B709" s="344" t="inlineStr">
        <is>
          <t>XVI - Activos virtuales (PSAV): operación de intercambio/transferencia</t>
        </is>
      </c>
      <c r="C709" s="345" t="n">
        <v>4</v>
      </c>
      <c r="D709" s="208" t="inlineStr">
        <is>
          <t>Transferencia u ocultamiento de valor</t>
        </is>
      </c>
      <c r="E709" s="208" t="inlineStr">
        <is>
          <t>Estratificación on-chain vía mixers y saltos entre wallets para ocultar el origen.</t>
        </is>
      </c>
      <c r="F709" s="208" t="inlineStr">
        <is>
          <t>Transferencias con trazabilidad on-chain parcial.</t>
        </is>
      </c>
      <c r="G709" s="208" t="inlineStr">
        <is>
          <t>Transferencias con trazabilidad on-chain completa y contraparte conocida.</t>
        </is>
      </c>
    </row>
    <row r="710" ht="18.75" customHeight="1" s="173">
      <c r="A710" s="208">
        <f>B710&amp;"-"&amp;C710</f>
        <v/>
      </c>
      <c r="B710" s="344" t="inlineStr">
        <is>
          <t>XVI - Activos virtuales (PSAV): operación de intercambio/transferencia</t>
        </is>
      </c>
      <c r="C710" s="345" t="n">
        <v>5</v>
      </c>
      <c r="D710" s="208" t="inlineStr">
        <is>
          <t>Exposición del acto u operación al financiamiento al terrorismo</t>
        </is>
      </c>
      <c r="E710" s="208" t="inlineStr">
        <is>
          <t>Transferencias hacia o desde direcciones señaladas en listas de sanciones o asociadas a campañas de recaudación de organizaciones terroristas; uso de mezcladores para romper la trazabilidad.</t>
        </is>
      </c>
      <c r="F710" s="208" t="inlineStr">
        <is>
          <t>Operaciones con contrapartes en jurisdicciones de monitoreo intensificado o wallets sin atribución, sin coincidencias en listas.</t>
        </is>
      </c>
      <c r="G710" s="208" t="inlineStr">
        <is>
          <t>Operación entre cuentas verificadas, con contraparte identificada y trazabilidad completa de la dirección.</t>
        </is>
      </c>
    </row>
    <row r="711" ht="18.75" customHeight="1" s="173">
      <c r="A711" s="208">
        <f>B711&amp;"-"&amp;C711</f>
        <v/>
      </c>
      <c r="B711" s="344" t="inlineStr">
        <is>
          <t>XVI - Activos virtuales (PSAV): operación de intercambio/transferencia</t>
        </is>
      </c>
      <c r="C711" s="345" t="n">
        <v>6</v>
      </c>
      <c r="D711" s="208" t="inlineStr">
        <is>
          <t>Tipo de persona y estructura</t>
        </is>
      </c>
      <c r="E711" s="208" t="inlineStr">
        <is>
          <t>Persona moral extranjera o estructura opaca operando activos virtuales.</t>
        </is>
      </c>
      <c r="F711" s="208" t="inlineStr">
        <is>
          <t>Persona moral nacional con estructura de propiedad poco clara.</t>
        </is>
      </c>
      <c r="G711" s="208" t="inlineStr">
        <is>
          <t>Persona física o moral nacional con beneficiario final identificado.</t>
        </is>
      </c>
    </row>
    <row r="712" ht="18.75" customHeight="1" s="173">
      <c r="A712" s="208">
        <f>B712&amp;"-"&amp;C712</f>
        <v/>
      </c>
      <c r="B712" s="344" t="inlineStr">
        <is>
          <t>XVI - Activos virtuales (PSAV): operación de intercambio/transferencia</t>
        </is>
      </c>
      <c r="C712" s="345" t="n">
        <v>7</v>
      </c>
      <c r="D712" s="208" t="inlineStr">
        <is>
          <t>Edad / fecha de constitución</t>
        </is>
      </c>
      <c r="E712" s="208" t="inlineStr">
        <is>
          <t>Cliente muy joven atípico o empresa de reciente creación en el sector cripto.</t>
        </is>
      </c>
      <c r="F712" s="208" t="inlineStr">
        <is>
          <t>Antigüedad intermedia o incorporación reciente al sector.</t>
        </is>
      </c>
      <c r="G712" s="208" t="inlineStr">
        <is>
          <t>Cliente o empresa con historial operativo demostrable.</t>
        </is>
      </c>
    </row>
    <row r="713" ht="18.75" customHeight="1" s="173">
      <c r="A713" s="208">
        <f>B713&amp;"-"&amp;C713</f>
        <v/>
      </c>
      <c r="B713" s="344" t="inlineStr">
        <is>
          <t>XVI - Activos virtuales (PSAV): operación de intercambio/transferencia</t>
        </is>
      </c>
      <c r="C713" s="345" t="n">
        <v>8</v>
      </c>
      <c r="D713" s="208" t="inlineStr">
        <is>
          <t>Actividad económica o giro (y fuente de ingresos)</t>
        </is>
      </c>
      <c r="E713" s="208" t="inlineStr">
        <is>
          <t>Giro informal, intensivo en efectivo o ligado a otras AV, sin sustento de fondos.</t>
        </is>
      </c>
      <c r="F713" s="208" t="inlineStr">
        <is>
          <t>Giro mixto con sustento parcial de la fuente de fondos.</t>
        </is>
      </c>
      <c r="G713" s="208" t="inlineStr">
        <is>
          <t>Giro formal bancarizado congruente con el volumen operado.</t>
        </is>
      </c>
    </row>
    <row r="714" ht="18.75" customHeight="1" s="173">
      <c r="A714" s="208">
        <f>B714&amp;"-"&amp;C714</f>
        <v/>
      </c>
      <c r="B714" s="344" t="inlineStr">
        <is>
          <t>XVI - Activos virtuales (PSAV): operación de intercambio/transferencia</t>
        </is>
      </c>
      <c r="C714" s="345" t="n">
        <v>9</v>
      </c>
      <c r="D714" s="208" t="inlineStr">
        <is>
          <t>Nacionalidad del cliente</t>
        </is>
      </c>
      <c r="E714" s="208" t="inlineStr">
        <is>
          <t>Nacional de país en listas GAFI, sancionado o régimen fiscal preferente.</t>
        </is>
      </c>
      <c r="F714" s="208" t="inlineStr">
        <is>
          <t>Nacional de país con deficiencias parciales en PLD.</t>
        </is>
      </c>
      <c r="G714" s="208" t="inlineStr">
        <is>
          <t>Nacional de país cooperante con marco PLD robusto.</t>
        </is>
      </c>
    </row>
    <row r="715" ht="18.75" customHeight="1" s="173">
      <c r="A715" s="208">
        <f>B715&amp;"-"&amp;C715</f>
        <v/>
      </c>
      <c r="B715" s="344" t="inlineStr">
        <is>
          <t>XVI - Activos virtuales (PSAV): operación de intercambio/transferencia</t>
        </is>
      </c>
      <c r="C715" s="345" t="n">
        <v>10</v>
      </c>
      <c r="D715" s="208" t="inlineStr">
        <is>
          <t>País (y en su caso, estado) de residencia del cliente</t>
        </is>
      </c>
      <c r="E715" s="208" t="inlineStr">
        <is>
          <t>Residencia en jurisdicción de alto riesgo, sin regulación VASP o no verificable.</t>
        </is>
      </c>
      <c r="F715" s="208" t="inlineStr">
        <is>
          <t>Residencia verificable en zona de riesgo intermedio.</t>
        </is>
      </c>
      <c r="G715" s="208" t="inlineStr">
        <is>
          <t>Residencia nacional plenamente verificada.</t>
        </is>
      </c>
    </row>
    <row r="716" ht="18.75" customHeight="1" s="173">
      <c r="A716" s="208">
        <f>B716&amp;"-"&amp;C716</f>
        <v/>
      </c>
      <c r="B716" s="344" t="inlineStr">
        <is>
          <t>XVI - Activos virtuales (PSAV): operación de intercambio/transferencia</t>
        </is>
      </c>
      <c r="C716" s="345" t="n">
        <v>11</v>
      </c>
      <c r="D716" s="208" t="inlineStr">
        <is>
          <t>Condición PEP</t>
        </is>
      </c>
      <c r="E716" s="208" t="inlineStr">
        <is>
          <t>PEP nacional o extranjera, o allegado de PEP.</t>
        </is>
      </c>
      <c r="F716" s="208" t="inlineStr">
        <is>
          <t>Vínculo indirecto o lejano con una PEP.</t>
        </is>
      </c>
      <c r="G716" s="208" t="inlineStr">
        <is>
          <t>Sin condición PEP ni vínculos identificados.</t>
        </is>
      </c>
    </row>
    <row r="717" ht="18.75" customHeight="1" s="173">
      <c r="A717" s="208">
        <f>B717&amp;"-"&amp;C717</f>
        <v/>
      </c>
      <c r="B717" s="344" t="inlineStr">
        <is>
          <t>XVI - Activos virtuales (PSAV): operación de intercambio/transferencia</t>
        </is>
      </c>
      <c r="C717" s="345" t="n">
        <v>12</v>
      </c>
      <c r="D717" s="208" t="inlineStr">
        <is>
          <t>Coincidencia en listas de personas bloqueadas o de sanciones</t>
        </is>
      </c>
      <c r="E717" s="208" t="inlineStr">
        <is>
          <t>El usuario, su beneficiario controlador, apoderado o contraparte aparece en la Lista de Personas Bloqueadas, en listas de sanciones o en listas de organizaciones terroristas, o presenta una coincidencia fuerte que no ha sido descartada.</t>
        </is>
      </c>
      <c r="F717" s="208" t="inlineStr">
        <is>
          <t>Se detecta coincidencia parcial u homonimia respecto del usuario o de alguna persona relacionada, y el descarte se encuentra en proceso con constancia documental.</t>
        </is>
      </c>
      <c r="G717" s="208" t="inlineStr">
        <is>
          <t>Búsqueda realizada y documentada sobre el usuario y sus personas relacionadas, sin coincidencias.</t>
        </is>
      </c>
    </row>
    <row r="718" ht="18.75" customHeight="1" s="173">
      <c r="A718" s="208">
        <f>B718&amp;"-"&amp;C718</f>
        <v/>
      </c>
      <c r="B718" s="344" t="inlineStr">
        <is>
          <t>XVI - Activos virtuales (PSAV): operación de intercambio/transferencia</t>
        </is>
      </c>
      <c r="C718" s="345" t="n">
        <v>13</v>
      </c>
      <c r="D718" s="208" t="inlineStr">
        <is>
          <t>Identificación y complejidad del Beneficiario Controlador</t>
        </is>
      </c>
      <c r="E718" s="208" t="inlineStr">
        <is>
          <t>No se logra identificar al beneficiario controlador del usuario, o la estructura interpone dos o más niveles societarios, fiduciarios o vehículos constituidos en el extranjero para llegar al 25 por ciento.</t>
        </is>
      </c>
      <c r="F718" s="208" t="inlineStr">
        <is>
          <t>Beneficiario controlador identificado, pero a través de una estructura de más de un nivel o con participación indirecta que exigió reconstruir la cadena de control con documentos.</t>
        </is>
      </c>
      <c r="G718" s="208" t="inlineStr">
        <is>
          <t>Beneficiario controlador identificado de forma directa y documentada: persona física que posee al menos el 25 por ciento o que ejerce el control por otra vía acreditada.</t>
        </is>
      </c>
    </row>
    <row r="719" ht="18.75" customHeight="1" s="173">
      <c r="A719" s="208">
        <f>B719&amp;"-"&amp;C719</f>
        <v/>
      </c>
      <c r="B719" s="344" t="inlineStr">
        <is>
          <t>XVI - Activos virtuales (PSAV): operación de intercambio/transferencia</t>
        </is>
      </c>
      <c r="C719" s="345" t="n">
        <v>14</v>
      </c>
      <c r="D719" s="208" t="inlineStr">
        <is>
          <t>País / jurisdicción donde se realiza la operación</t>
        </is>
      </c>
      <c r="E719" s="208" t="inlineStr">
        <is>
          <t>Operación transfronteriza con o desde jurisdicción de alto riesgo o sin regulación VASP.</t>
        </is>
      </c>
      <c r="F719" s="208" t="inlineStr">
        <is>
          <t>Operación con jurisdicción de riesgo intermedio.</t>
        </is>
      </c>
      <c r="G719" s="208" t="inlineStr">
        <is>
          <t>Operación nacional con contraparte en jurisdicción cooperante.</t>
        </is>
      </c>
    </row>
    <row r="720" ht="18.75" customHeight="1" s="173">
      <c r="A720" s="208">
        <f>B720&amp;"-"&amp;C720</f>
        <v/>
      </c>
      <c r="B720" s="344" t="inlineStr">
        <is>
          <t>XVI - Activos virtuales (PSAV): operación de intercambio/transferencia</t>
        </is>
      </c>
      <c r="C720" s="345" t="n">
        <v>15</v>
      </c>
      <c r="D720" s="208" t="inlineStr">
        <is>
          <t>Área geográfica nacional de la operación</t>
        </is>
      </c>
      <c r="E720" s="208" t="inlineStr">
        <is>
          <t>Cliente ubicado en zona de alta incidencia delictiva, marginación o frontera.</t>
        </is>
      </c>
      <c r="F720" s="208" t="inlineStr">
        <is>
          <t>Cliente en zona de riesgo intermedio.</t>
        </is>
      </c>
      <c r="G720" s="208" t="inlineStr">
        <is>
          <t>Cliente en zona de baja incidencia delictiva.</t>
        </is>
      </c>
    </row>
    <row r="721" ht="18.75" customHeight="1" s="173">
      <c r="A721" s="208">
        <f>B721&amp;"-"&amp;C721</f>
        <v/>
      </c>
      <c r="B721" s="344" t="inlineStr">
        <is>
          <t>XVI - Activos virtuales (PSAV): operación de intercambio/transferencia</t>
        </is>
      </c>
      <c r="C721" s="345" t="n">
        <v>16</v>
      </c>
      <c r="D721" s="208" t="inlineStr">
        <is>
          <t>Vínculo con jurisdicciones sancionadas, en conflicto o de acción requerida por el GAFI</t>
        </is>
      </c>
      <c r="E721" s="208" t="inlineStr">
        <is>
          <t>Existe exposición a jurisdicciones sancionadas, en conflicto armado o de acción requerida del GAFI, por la vía de contrapartes y direcciones asociadas a jurisdicciones sancionadas.</t>
        </is>
      </c>
      <c r="F721" s="208" t="inlineStr">
        <is>
          <t>Vínculo con jurisdicciones bajo monitoreo intensificado del GAFI o con deficiencias señaladas en la ENR, sin estar sancionadas ni en conflicto.</t>
        </is>
      </c>
      <c r="G721" s="208" t="inlineStr">
        <is>
          <t>Sin vínculo con jurisdicciones sancionadas, en conflicto o listadas por el GAFI; la operación y sus partes se ubican en plazas sin señalamientos.</t>
        </is>
      </c>
    </row>
    <row r="722" ht="18.75" customHeight="1" s="173">
      <c r="A722" s="208">
        <f>B722&amp;"-"&amp;C722</f>
        <v/>
      </c>
      <c r="B722" s="344" t="inlineStr">
        <is>
          <t>XVI - Activos virtuales (PSAV): operación de intercambio/transferencia</t>
        </is>
      </c>
      <c r="C722" s="345" t="n">
        <v>17</v>
      </c>
      <c r="D722" s="208" t="inlineStr">
        <is>
          <t>Congruencia entre el domicilio del Cliente y el lugar de la operación</t>
        </is>
      </c>
      <c r="E722" s="208" t="inlineStr">
        <is>
          <t>El domicilio del usuario no guarda relación económica ni logística con el lugar donde se realiza la operación de intercambio o transferencia de activos virtuales, y no existe explicación documentada del desplazamiento.</t>
        </is>
      </c>
      <c r="F722" s="208" t="inlineStr">
        <is>
          <t>Existe distancia relevante entre el domicilio del usuario y el lugar de la operación, con explicación plausible pero no soportada en el expediente.</t>
        </is>
      </c>
      <c r="G722" s="208" t="inlineStr">
        <is>
          <t>El domicilio del usuario corresponde a la plaza donde se realiza la operación de intercambio o transferencia de activos virtuales, o el desplazamiento está justificado y documentado.</t>
        </is>
      </c>
    </row>
    <row r="723" ht="18.75" customHeight="1" s="173">
      <c r="A723" s="208">
        <f>B723&amp;"-"&amp;C723</f>
        <v/>
      </c>
      <c r="B723" s="344" t="inlineStr">
        <is>
          <t>XVI - Activos virtuales (PSAV): operación de intercambio/transferencia</t>
        </is>
      </c>
      <c r="C723" s="345" t="n">
        <v>18</v>
      </c>
      <c r="D723" s="208" t="inlineStr">
        <is>
          <t>Instrumento monetario</t>
        </is>
      </c>
      <c r="E723" s="208" t="inlineStr">
        <is>
          <t>Criptoactivos liquidados en efectivo o instrumentos al portador.</t>
        </is>
      </c>
      <c r="F723" s="208" t="inlineStr">
        <is>
          <t>Liquidación mixta cripto-fiat.</t>
        </is>
      </c>
      <c r="G723" s="208" t="inlineStr">
        <is>
          <t>Liquidación por transferencia bancaria trazable.</t>
        </is>
      </c>
    </row>
    <row r="724" ht="18.75" customHeight="1" s="173">
      <c r="A724" s="208">
        <f>B724&amp;"-"&amp;C724</f>
        <v/>
      </c>
      <c r="B724" s="344" t="inlineStr">
        <is>
          <t>XVI - Activos virtuales (PSAV): operación de intercambio/transferencia</t>
        </is>
      </c>
      <c r="C724" s="345" t="n">
        <v>19</v>
      </c>
      <c r="D724" s="208" t="inlineStr">
        <is>
          <t>Tipo de moneda</t>
        </is>
      </c>
      <c r="E724" s="208" t="inlineStr">
        <is>
          <t>Criptos de privacidad (Monero, Zcash) o stablecoins de emisor opaco.</t>
        </is>
      </c>
      <c r="F724" s="208" t="inlineStr">
        <is>
          <t>Criptoactivos volátiles de amplia circulación con trazabilidad on-chain.</t>
        </is>
      </c>
      <c r="G724" s="208" t="inlineStr">
        <is>
          <t>Stablecoins reguladas o liquidación en MXN trazable.</t>
        </is>
      </c>
    </row>
    <row r="725" ht="18.75" customHeight="1" s="173">
      <c r="A725" s="208">
        <f>B725&amp;"-"&amp;C725</f>
        <v/>
      </c>
      <c r="B725" s="344" t="inlineStr">
        <is>
          <t>XVI - Activos virtuales (PSAV): operación de intercambio/transferencia</t>
        </is>
      </c>
      <c r="C725" s="345" t="n">
        <v>20</v>
      </c>
      <c r="D725" s="208" t="inlineStr">
        <is>
          <t>Monto frente a umbrales LFPIORPI</t>
        </is>
      </c>
      <c r="E725" s="208" t="inlineStr">
        <is>
          <t>Supera el umbral de aviso de 210 UMA o el umbral de DDC de USD 1,000.</t>
        </is>
      </c>
      <c r="F725" s="208" t="inlineStr">
        <is>
          <t>Monto cercano al umbral de 210 UMA o de USD 1,000.</t>
        </is>
      </c>
      <c r="G725" s="208" t="inlineStr">
        <is>
          <t>Monto muy por debajo de los umbrales de aviso y de DDC.</t>
        </is>
      </c>
    </row>
    <row r="726" ht="18.75" customHeight="1" s="173">
      <c r="A726" s="208">
        <f>B726&amp;"-"&amp;C726</f>
        <v/>
      </c>
      <c r="B726" s="344" t="inlineStr">
        <is>
          <t>XVI - Activos virtuales (PSAV): operación de intercambio/transferencia</t>
        </is>
      </c>
      <c r="C726" s="345" t="n">
        <v>21</v>
      </c>
      <c r="D726" s="208" t="inlineStr">
        <is>
          <t>Frecuencia (fraccionamiento)</t>
        </is>
      </c>
      <c r="E726" s="208" t="inlineStr">
        <is>
          <t>Operaciones frecuentes o fraccionadas bajo USD 1,000 para eludir umbrales.</t>
        </is>
      </c>
      <c r="F726" s="208" t="inlineStr">
        <is>
          <t>Operaciones periódicas sin patrón claro de fraccionamiento.</t>
        </is>
      </c>
      <c r="G726" s="208" t="inlineStr">
        <is>
          <t>Operaciones esporádicas congruentes con el perfil.</t>
        </is>
      </c>
    </row>
    <row r="727" ht="18.75" customHeight="1" s="173">
      <c r="A727" s="208">
        <f>B727&amp;"-"&amp;C727</f>
        <v/>
      </c>
      <c r="B727" s="344" t="inlineStr">
        <is>
          <t>XVI - Activos virtuales (PSAV): operación de intercambio/transferencia</t>
        </is>
      </c>
      <c r="C727" s="345" t="n">
        <v>22</v>
      </c>
      <c r="D727" s="208" t="inlineStr">
        <is>
          <t>Canal (presencial / no presencial / terceros)</t>
        </is>
      </c>
      <c r="E727" s="208" t="inlineStr">
        <is>
          <t>Onboarding no presencial sin video-verificación ni prueba de vida.</t>
        </is>
      </c>
      <c r="F727" s="208" t="inlineStr">
        <is>
          <t>Onboarding no presencial con verificación parcial.</t>
        </is>
      </c>
      <c r="G727" s="208" t="inlineStr">
        <is>
          <t>Onboarding no presencial con biometría y prueba de vida robustas.</t>
        </is>
      </c>
    </row>
    <row r="728" ht="18.75" customHeight="1" s="173">
      <c r="A728" s="208">
        <f>B728&amp;"-"&amp;C728</f>
        <v/>
      </c>
      <c r="B728" s="344" t="inlineStr">
        <is>
          <t>XVI - Activos virtuales (PSAV): operación de intercambio/transferencia</t>
        </is>
      </c>
      <c r="C728" s="345" t="n">
        <v>23</v>
      </c>
      <c r="D728" s="208" t="inlineStr">
        <is>
          <t>Origen de los recursos</t>
        </is>
      </c>
      <c r="E728" s="208" t="inlineStr">
        <is>
          <t>Fondos desde wallets no atribuibles, mixers o exchanges sin KYC.</t>
        </is>
      </c>
      <c r="F728" s="208" t="inlineStr">
        <is>
          <t>Origen on-chain parcialmente rastreable.</t>
        </is>
      </c>
      <c r="G728" s="208" t="inlineStr">
        <is>
          <t>Origen desde wallet identificada o cuenta bancaria acreditada.</t>
        </is>
      </c>
    </row>
    <row r="729" ht="18.75" customHeight="1" s="173">
      <c r="A729" s="208">
        <f>B729&amp;"-"&amp;C729</f>
        <v/>
      </c>
      <c r="B729" s="344" t="inlineStr">
        <is>
          <t>XVI - Activos virtuales (PSAV): operación de intercambio/transferencia</t>
        </is>
      </c>
      <c r="C729" s="345" t="n">
        <v>24</v>
      </c>
      <c r="D729" s="208" t="inlineStr">
        <is>
          <t>Destino de los recursos</t>
        </is>
      </c>
      <c r="E729" s="208" t="inlineStr">
        <is>
          <t>Destino a wallets no custodiadas, mixers o exchanges extranjeros sin regulación.</t>
        </is>
      </c>
      <c r="F729" s="208" t="inlineStr">
        <is>
          <t>Destino parcialmente rastreable on-chain.</t>
        </is>
      </c>
      <c r="G729" s="208" t="inlineStr">
        <is>
          <t>Destino a wallet identificada o cuenta bancaria trazable.</t>
        </is>
      </c>
    </row>
    <row r="730" ht="18.75" customHeight="1" s="173">
      <c r="A730" s="208">
        <f>B730&amp;"-"&amp;C730</f>
        <v/>
      </c>
      <c r="B730" s="344" t="inlineStr">
        <is>
          <t>XVI - Activos virtuales (PSAV): operación de intercambio/transferencia</t>
        </is>
      </c>
      <c r="C730" s="345" t="n">
        <v>25</v>
      </c>
      <c r="D730" s="208" t="inlineStr">
        <is>
          <t>Canales e instrumentos idóneos para el financiamiento al terrorismo</t>
        </is>
      </c>
      <c r="E730" s="208" t="inlineStr">
        <is>
          <t>La operación se realiza mediante wallets no custodiadas, mezcladores, criptomonedas de privacidad y operación entre pares, es decir, medios que permiten mover valor en montos pequeños sin identificar al destinatario final.</t>
        </is>
      </c>
      <c r="F730" s="208" t="inlineStr">
        <is>
          <t>Canal mixto o con verificación parcial: hay registro de la operación pero la trazabilidad del destinatario final es incompleta.</t>
        </is>
      </c>
      <c r="G730" s="208" t="inlineStr">
        <is>
          <t>Operación entre cuentas verificadas del propio usuario en plataformas reguladas y trazables, con trazabilidad completa del origen y del destinatario.</t>
        </is>
      </c>
    </row>
    <row r="731" ht="18.75" customHeight="1" s="173">
      <c r="A731" s="208">
        <f>B731&amp;"-"&amp;C731</f>
        <v/>
      </c>
      <c r="B731" s="344" t="inlineStr">
        <is>
          <t>XVI - Activos virtuales (PSAV): cobro de contraprestación (comisión) por el servicio</t>
        </is>
      </c>
      <c r="C731" s="345" t="n">
        <v>1</v>
      </c>
      <c r="D731" s="208" t="inlineStr">
        <is>
          <t>Valor del producto o servicio</t>
        </is>
      </c>
      <c r="E731" s="208" t="inlineStr">
        <is>
          <t>Comisiones de alto valor o desproporcionadas frente al servicio prestado.</t>
        </is>
      </c>
      <c r="F731" s="208" t="inlineStr">
        <is>
          <t>Comisiones de valor moderado acordes al servicio.</t>
        </is>
      </c>
      <c r="G731" s="208" t="inlineStr">
        <is>
          <t>Comisiones de bajo monto congruentes con el servicio.</t>
        </is>
      </c>
    </row>
    <row r="732" ht="18.75" customHeight="1" s="173">
      <c r="A732" s="208">
        <f>B732&amp;"-"&amp;C732</f>
        <v/>
      </c>
      <c r="B732" s="344" t="inlineStr">
        <is>
          <t>XVI - Activos virtuales (PSAV): cobro de contraprestación (comisión) por el servicio</t>
        </is>
      </c>
      <c r="C732" s="345" t="n">
        <v>2</v>
      </c>
      <c r="D732" s="208" t="inlineStr">
        <is>
          <t>Liquidez / convertibilidad</t>
        </is>
      </c>
      <c r="E732" s="208" t="inlineStr">
        <is>
          <t>Comisión cobrada en efectivo o cripto de conversión inmediata.</t>
        </is>
      </c>
      <c r="F732" s="208" t="inlineStr">
        <is>
          <t>Comisión cobrada por medios mixtos.</t>
        </is>
      </c>
      <c r="G732" s="208" t="inlineStr">
        <is>
          <t>Comisión cobrada por medios bancarizados trazables.</t>
        </is>
      </c>
    </row>
    <row r="733" ht="18.75" customHeight="1" s="173">
      <c r="A733" s="208">
        <f>B733&amp;"-"&amp;C733</f>
        <v/>
      </c>
      <c r="B733" s="344" t="inlineStr">
        <is>
          <t>XVI - Activos virtuales (PSAV): cobro de contraprestación (comisión) por el servicio</t>
        </is>
      </c>
      <c r="C733" s="345" t="n">
        <v>3</v>
      </c>
      <c r="D733" s="208" t="inlineStr">
        <is>
          <t>Anonimato / identificación del beneficiario</t>
        </is>
      </c>
      <c r="E733" s="208" t="inlineStr">
        <is>
          <t>Cobro de comisión sin identificar al cliente que paga ni al beneficiario.</t>
        </is>
      </c>
      <c r="F733" s="208" t="inlineStr">
        <is>
          <t>Identificación parcial del pagador de la comisión.</t>
        </is>
      </c>
      <c r="G733" s="208" t="inlineStr">
        <is>
          <t>Cliente pagador de la comisión plenamente identificado.</t>
        </is>
      </c>
    </row>
    <row r="734" ht="18.75" customHeight="1" s="173">
      <c r="A734" s="208">
        <f>B734&amp;"-"&amp;C734</f>
        <v/>
      </c>
      <c r="B734" s="344" t="inlineStr">
        <is>
          <t>XVI - Activos virtuales (PSAV): cobro de contraprestación (comisión) por el servicio</t>
        </is>
      </c>
      <c r="C734" s="345" t="n">
        <v>4</v>
      </c>
      <c r="D734" s="208" t="inlineStr">
        <is>
          <t>Transferencia u ocultamiento de valor</t>
        </is>
      </c>
      <c r="E734" s="208" t="inlineStr">
        <is>
          <t>Uso del cobro de comisiones para justificar flujos o simular operaciones.</t>
        </is>
      </c>
      <c r="F734" s="208" t="inlineStr">
        <is>
          <t>Comisiones con justificación parcial del flujo.</t>
        </is>
      </c>
      <c r="G734" s="208" t="inlineStr">
        <is>
          <t>Comisiones documentadas y congruentes con el servicio.</t>
        </is>
      </c>
    </row>
    <row r="735" ht="18.75" customHeight="1" s="173">
      <c r="A735" s="208">
        <f>B735&amp;"-"&amp;C735</f>
        <v/>
      </c>
      <c r="B735" s="344" t="inlineStr">
        <is>
          <t>XVI - Activos virtuales (PSAV): cobro de contraprestación (comisión) por el servicio</t>
        </is>
      </c>
      <c r="C735" s="345" t="n">
        <v>5</v>
      </c>
      <c r="D735" s="208" t="inlineStr">
        <is>
          <t>Exposición del acto u operación al financiamiento al terrorismo</t>
        </is>
      </c>
      <c r="E735" s="208" t="inlineStr">
        <is>
          <t>Cobro de comisiones a usuarios señalados en listas de sanciones o cuyas operaciones subyacentes se dirigen a organizaciones terroristas.</t>
        </is>
      </c>
      <c r="F735" s="208" t="inlineStr">
        <is>
          <t>Comisiones cobradas a usuarios de jurisdicciones de monitoreo intensificado, sin coincidencias en listas.</t>
        </is>
      </c>
      <c r="G735" s="208" t="inlineStr">
        <is>
          <t>Comisión cobrada a usuario verificado, con la operación subyacente plenamente trazable.</t>
        </is>
      </c>
    </row>
    <row r="736" ht="18.75" customHeight="1" s="173">
      <c r="A736" s="208">
        <f>B736&amp;"-"&amp;C736</f>
        <v/>
      </c>
      <c r="B736" s="344" t="inlineStr">
        <is>
          <t>XVI - Activos virtuales (PSAV): cobro de contraprestación (comisión) por el servicio</t>
        </is>
      </c>
      <c r="C736" s="345" t="n">
        <v>6</v>
      </c>
      <c r="D736" s="208" t="inlineStr">
        <is>
          <t>Tipo de persona y estructura</t>
        </is>
      </c>
      <c r="E736" s="208" t="inlineStr">
        <is>
          <t>Persona moral extranjera o estructura opaca como pagador de la comisión.</t>
        </is>
      </c>
      <c r="F736" s="208" t="inlineStr">
        <is>
          <t>Persona moral nacional con estructura poco clara.</t>
        </is>
      </c>
      <c r="G736" s="208" t="inlineStr">
        <is>
          <t>Persona física o moral nacional con beneficiario final identificado.</t>
        </is>
      </c>
    </row>
    <row r="737" ht="18.75" customHeight="1" s="173">
      <c r="A737" s="208">
        <f>B737&amp;"-"&amp;C737</f>
        <v/>
      </c>
      <c r="B737" s="344" t="inlineStr">
        <is>
          <t>XVI - Activos virtuales (PSAV): cobro de contraprestación (comisión) por el servicio</t>
        </is>
      </c>
      <c r="C737" s="345" t="n">
        <v>7</v>
      </c>
      <c r="D737" s="208" t="inlineStr">
        <is>
          <t>Edad / fecha de constitución</t>
        </is>
      </c>
      <c r="E737" s="208" t="inlineStr">
        <is>
          <t>Pagador muy joven atípico o empresa de reciente creación.</t>
        </is>
      </c>
      <c r="F737" s="208" t="inlineStr">
        <is>
          <t>Antigüedad intermedia o incorporación reciente al sector.</t>
        </is>
      </c>
      <c r="G737" s="208" t="inlineStr">
        <is>
          <t>Pagador con historial operativo demostrable.</t>
        </is>
      </c>
    </row>
    <row r="738" ht="18.75" customHeight="1" s="173">
      <c r="A738" s="208">
        <f>B738&amp;"-"&amp;C738</f>
        <v/>
      </c>
      <c r="B738" s="344" t="inlineStr">
        <is>
          <t>XVI - Activos virtuales (PSAV): cobro de contraprestación (comisión) por el servicio</t>
        </is>
      </c>
      <c r="C738" s="345" t="n">
        <v>8</v>
      </c>
      <c r="D738" s="208" t="inlineStr">
        <is>
          <t>Actividad económica o giro (y fuente de ingresos)</t>
        </is>
      </c>
      <c r="E738" s="208" t="inlineStr">
        <is>
          <t>Pagador con giro informal o intensivo en efectivo sin sustento del pago.</t>
        </is>
      </c>
      <c r="F738" s="208" t="inlineStr">
        <is>
          <t>Giro mixto con sustento parcial de la fuente de fondos.</t>
        </is>
      </c>
      <c r="G738" s="208" t="inlineStr">
        <is>
          <t>Giro formal bancarizado congruente con la comisión.</t>
        </is>
      </c>
    </row>
    <row r="739" ht="18.75" customHeight="1" s="173">
      <c r="A739" s="208">
        <f>B739&amp;"-"&amp;C739</f>
        <v/>
      </c>
      <c r="B739" s="344" t="inlineStr">
        <is>
          <t>XVI - Activos virtuales (PSAV): cobro de contraprestación (comisión) por el servicio</t>
        </is>
      </c>
      <c r="C739" s="345" t="n">
        <v>9</v>
      </c>
      <c r="D739" s="208" t="inlineStr">
        <is>
          <t>Nacionalidad del cliente</t>
        </is>
      </c>
      <c r="E739" s="208" t="inlineStr">
        <is>
          <t>Nacional de país en listas GAFI, sancionado o régimen fiscal preferente.</t>
        </is>
      </c>
      <c r="F739" s="208" t="inlineStr">
        <is>
          <t>Nacional de país con deficiencias parciales en PLD.</t>
        </is>
      </c>
      <c r="G739" s="208" t="inlineStr">
        <is>
          <t>Nacional de país cooperante con marco PLD robusto.</t>
        </is>
      </c>
    </row>
    <row r="740" ht="18.75" customHeight="1" s="173">
      <c r="A740" s="208">
        <f>B740&amp;"-"&amp;C740</f>
        <v/>
      </c>
      <c r="B740" s="344" t="inlineStr">
        <is>
          <t>XVI - Activos virtuales (PSAV): cobro de contraprestación (comisión) por el servicio</t>
        </is>
      </c>
      <c r="C740" s="345" t="n">
        <v>10</v>
      </c>
      <c r="D740" s="208" t="inlineStr">
        <is>
          <t>País (y en su caso, estado) de residencia del cliente</t>
        </is>
      </c>
      <c r="E740" s="208" t="inlineStr">
        <is>
          <t>Residencia en jurisdicción de alto riesgo o no verificable.</t>
        </is>
      </c>
      <c r="F740" s="208" t="inlineStr">
        <is>
          <t>Residencia verificable en zona de riesgo intermedio.</t>
        </is>
      </c>
      <c r="G740" s="208" t="inlineStr">
        <is>
          <t>Residencia nacional plenamente verificada.</t>
        </is>
      </c>
    </row>
    <row r="741" ht="18.75" customHeight="1" s="173">
      <c r="A741" s="208">
        <f>B741&amp;"-"&amp;C741</f>
        <v/>
      </c>
      <c r="B741" s="344" t="inlineStr">
        <is>
          <t>XVI - Activos virtuales (PSAV): cobro de contraprestación (comisión) por el servicio</t>
        </is>
      </c>
      <c r="C741" s="345" t="n">
        <v>11</v>
      </c>
      <c r="D741" s="208" t="inlineStr">
        <is>
          <t>Condición PEP</t>
        </is>
      </c>
      <c r="E741" s="208" t="inlineStr">
        <is>
          <t>PEP nacional o extranjera, o allegado de PEP.</t>
        </is>
      </c>
      <c r="F741" s="208" t="inlineStr">
        <is>
          <t>Vínculo indirecto o lejano con una PEP.</t>
        </is>
      </c>
      <c r="G741" s="208" t="inlineStr">
        <is>
          <t>Sin condición PEP ni vínculos identificados.</t>
        </is>
      </c>
    </row>
    <row r="742" ht="18.75" customHeight="1" s="173">
      <c r="A742" s="208">
        <f>B742&amp;"-"&amp;C742</f>
        <v/>
      </c>
      <c r="B742" s="344" t="inlineStr">
        <is>
          <t>XVI - Activos virtuales (PSAV): cobro de contraprestación (comisión) por el servicio</t>
        </is>
      </c>
      <c r="C742" s="345" t="n">
        <v>12</v>
      </c>
      <c r="D742" s="208" t="inlineStr">
        <is>
          <t>Coincidencia en listas de personas bloqueadas o de sanciones</t>
        </is>
      </c>
      <c r="E742" s="208" t="inlineStr">
        <is>
          <t>El usuario, su beneficiario controlador, apoderado o contraparte aparece en la Lista de Personas Bloqueadas, en listas de sanciones o en listas de organizaciones terroristas, o presenta una coincidencia fuerte que no ha sido descartada.</t>
        </is>
      </c>
      <c r="F742" s="208" t="inlineStr">
        <is>
          <t>Se detecta coincidencia parcial u homonimia respecto del usuario o de alguna persona relacionada, y el descarte se encuentra en proceso con constancia documental.</t>
        </is>
      </c>
      <c r="G742" s="208" t="inlineStr">
        <is>
          <t>Búsqueda realizada y documentada sobre el usuario y sus personas relacionadas, sin coincidencias.</t>
        </is>
      </c>
    </row>
    <row r="743" ht="18.75" customHeight="1" s="173">
      <c r="A743" s="208">
        <f>B743&amp;"-"&amp;C743</f>
        <v/>
      </c>
      <c r="B743" s="344" t="inlineStr">
        <is>
          <t>XVI - Activos virtuales (PSAV): cobro de contraprestación (comisión) por el servicio</t>
        </is>
      </c>
      <c r="C743" s="345" t="n">
        <v>13</v>
      </c>
      <c r="D743" s="208" t="inlineStr">
        <is>
          <t>Identificación y complejidad del Beneficiario Controlador</t>
        </is>
      </c>
      <c r="E743" s="208" t="inlineStr">
        <is>
          <t>No se logra identificar al beneficiario controlador del usuario, o la estructura interpone dos o más niveles societarios, fiduciarios o vehículos constituidos en el extranjero para llegar al 25 por ciento.</t>
        </is>
      </c>
      <c r="F743" s="208" t="inlineStr">
        <is>
          <t>Beneficiario controlador identificado, pero a través de una estructura de más de un nivel o con participación indirecta que exigió reconstruir la cadena de control con documentos.</t>
        </is>
      </c>
      <c r="G743" s="208" t="inlineStr">
        <is>
          <t>Beneficiario controlador identificado de forma directa y documentada: persona física que posee al menos el 25 por ciento o que ejerce el control por otra vía acreditada.</t>
        </is>
      </c>
    </row>
    <row r="744" ht="18.75" customHeight="1" s="173">
      <c r="A744" s="208">
        <f>B744&amp;"-"&amp;C744</f>
        <v/>
      </c>
      <c r="B744" s="344" t="inlineStr">
        <is>
          <t>XVI - Activos virtuales (PSAV): cobro de contraprestación (comisión) por el servicio</t>
        </is>
      </c>
      <c r="C744" s="345" t="n">
        <v>14</v>
      </c>
      <c r="D744" s="208" t="inlineStr">
        <is>
          <t>País / jurisdicción donde se realiza la operación</t>
        </is>
      </c>
      <c r="E744" s="208" t="inlineStr">
        <is>
          <t>Comisión asociada a operación con o desde jurisdicción de alto riesgo.</t>
        </is>
      </c>
      <c r="F744" s="208" t="inlineStr">
        <is>
          <t>Operación con jurisdicción de riesgo intermedio.</t>
        </is>
      </c>
      <c r="G744" s="208" t="inlineStr">
        <is>
          <t>Operación nacional con contraparte en jurisdicción cooperante.</t>
        </is>
      </c>
    </row>
    <row r="745" ht="18.75" customHeight="1" s="173">
      <c r="A745" s="208">
        <f>B745&amp;"-"&amp;C745</f>
        <v/>
      </c>
      <c r="B745" s="344" t="inlineStr">
        <is>
          <t>XVI - Activos virtuales (PSAV): cobro de contraprestación (comisión) por el servicio</t>
        </is>
      </c>
      <c r="C745" s="345" t="n">
        <v>15</v>
      </c>
      <c r="D745" s="208" t="inlineStr">
        <is>
          <t>Área geográfica nacional de la operación</t>
        </is>
      </c>
      <c r="E745" s="208" t="inlineStr">
        <is>
          <t>Pagador ubicado en zona de alta incidencia delictiva, marginación o frontera.</t>
        </is>
      </c>
      <c r="F745" s="208" t="inlineStr">
        <is>
          <t>Pagador en zona de riesgo intermedio.</t>
        </is>
      </c>
      <c r="G745" s="208" t="inlineStr">
        <is>
          <t>Pagador en zona de baja incidencia delictiva.</t>
        </is>
      </c>
    </row>
    <row r="746" ht="18.75" customHeight="1" s="173">
      <c r="A746" s="208">
        <f>B746&amp;"-"&amp;C746</f>
        <v/>
      </c>
      <c r="B746" s="344" t="inlineStr">
        <is>
          <t>XVI - Activos virtuales (PSAV): cobro de contraprestación (comisión) por el servicio</t>
        </is>
      </c>
      <c r="C746" s="345" t="n">
        <v>16</v>
      </c>
      <c r="D746" s="208" t="inlineStr">
        <is>
          <t>Vínculo con jurisdicciones sancionadas, en conflicto o de acción requerida por el GAFI</t>
        </is>
      </c>
      <c r="E746" s="208" t="inlineStr">
        <is>
          <t>Existe exposición a jurisdicciones sancionadas, en conflicto armado o de acción requerida del GAFI, por la vía de usuarios o pagos originados en jurisdicciones sancionadas.</t>
        </is>
      </c>
      <c r="F746" s="208" t="inlineStr">
        <is>
          <t>Vínculo con jurisdicciones bajo monitoreo intensificado del GAFI o con deficiencias señaladas en la ENR, sin estar sancionadas ni en conflicto.</t>
        </is>
      </c>
      <c r="G746" s="208" t="inlineStr">
        <is>
          <t>Sin vínculo con jurisdicciones sancionadas, en conflicto o listadas por el GAFI; la operación y sus partes se ubican en plazas sin señalamientos.</t>
        </is>
      </c>
    </row>
    <row r="747" ht="18.75" customHeight="1" s="173">
      <c r="A747" s="208">
        <f>B747&amp;"-"&amp;C747</f>
        <v/>
      </c>
      <c r="B747" s="344" t="inlineStr">
        <is>
          <t>XVI - Activos virtuales (PSAV): cobro de contraprestación (comisión) por el servicio</t>
        </is>
      </c>
      <c r="C747" s="345" t="n">
        <v>17</v>
      </c>
      <c r="D747" s="208" t="inlineStr">
        <is>
          <t>Congruencia entre el domicilio del Cliente y el lugar de la operación</t>
        </is>
      </c>
      <c r="E747" s="208" t="inlineStr">
        <is>
          <t>El domicilio del usuario no guarda relación económica ni logística con el lugar donde se realiza el cobro de la comisión por el servicio, y no existe explicación documentada del desplazamiento.</t>
        </is>
      </c>
      <c r="F747" s="208" t="inlineStr">
        <is>
          <t>Existe distancia relevante entre el domicilio del usuario y el lugar de la operación, con explicación plausible pero no soportada en el expediente.</t>
        </is>
      </c>
      <c r="G747" s="208" t="inlineStr">
        <is>
          <t>El domicilio del usuario corresponde a la plaza donde se realiza el cobro de la comisión por el servicio, o el desplazamiento está justificado y documentado.</t>
        </is>
      </c>
    </row>
    <row r="748" ht="18.75" customHeight="1" s="173">
      <c r="A748" s="208">
        <f>B748&amp;"-"&amp;C748</f>
        <v/>
      </c>
      <c r="B748" s="344" t="inlineStr">
        <is>
          <t>XVI - Activos virtuales (PSAV): cobro de contraprestación (comisión) por el servicio</t>
        </is>
      </c>
      <c r="C748" s="345" t="n">
        <v>18</v>
      </c>
      <c r="D748" s="208" t="inlineStr">
        <is>
          <t>Instrumento monetario</t>
        </is>
      </c>
      <c r="E748" s="208" t="inlineStr">
        <is>
          <t>Comisión pagada en efectivo, cripto o instrumentos al portador.</t>
        </is>
      </c>
      <c r="F748" s="208" t="inlineStr">
        <is>
          <t>Pago de comisión mixto efectivo-transferencia.</t>
        </is>
      </c>
      <c r="G748" s="208" t="inlineStr">
        <is>
          <t>Comisión pagada por transferencia bancaria trazable.</t>
        </is>
      </c>
    </row>
    <row r="749" ht="18.75" customHeight="1" s="173">
      <c r="A749" s="208">
        <f>B749&amp;"-"&amp;C749</f>
        <v/>
      </c>
      <c r="B749" s="344" t="inlineStr">
        <is>
          <t>XVI - Activos virtuales (PSAV): cobro de contraprestación (comisión) por el servicio</t>
        </is>
      </c>
      <c r="C749" s="345" t="n">
        <v>19</v>
      </c>
      <c r="D749" s="208" t="inlineStr">
        <is>
          <t>Tipo de moneda</t>
        </is>
      </c>
      <c r="E749" s="208" t="inlineStr">
        <is>
          <t>Comisión en criptos de privacidad o moneda extranjera de difícil trazabilidad.</t>
        </is>
      </c>
      <c r="F749" s="208" t="inlineStr">
        <is>
          <t>Comisión en cripto volátil de amplia circulación o en USD.</t>
        </is>
      </c>
      <c r="G749" s="208" t="inlineStr">
        <is>
          <t>Comisión en MXN o stablecoin regulada, trazable.</t>
        </is>
      </c>
    </row>
    <row r="750" ht="18.75" customHeight="1" s="173">
      <c r="A750" s="208">
        <f>B750&amp;"-"&amp;C750</f>
        <v/>
      </c>
      <c r="B750" s="344" t="inlineStr">
        <is>
          <t>XVI - Activos virtuales (PSAV): cobro de contraprestación (comisión) por el servicio</t>
        </is>
      </c>
      <c r="C750" s="345" t="n">
        <v>20</v>
      </c>
      <c r="D750" s="208" t="inlineStr">
        <is>
          <t>Monto frente a umbrales LFPIORPI</t>
        </is>
      </c>
      <c r="E750" s="208" t="inlineStr">
        <is>
          <t>La comisión cobrada supera el umbral de aviso de 4 UMA.</t>
        </is>
      </c>
      <c r="F750" s="208" t="inlineStr">
        <is>
          <t>Comisión cercana al umbral de aviso de 4 UMA.</t>
        </is>
      </c>
      <c r="G750" s="208" t="inlineStr">
        <is>
          <t>Comisión por debajo del umbral de aviso de 4 UMA.</t>
        </is>
      </c>
    </row>
    <row r="751" ht="18.75" customHeight="1" s="173">
      <c r="A751" s="208">
        <f>B751&amp;"-"&amp;C751</f>
        <v/>
      </c>
      <c r="B751" s="344" t="inlineStr">
        <is>
          <t>XVI - Activos virtuales (PSAV): cobro de contraprestación (comisión) por el servicio</t>
        </is>
      </c>
      <c r="C751" s="345" t="n">
        <v>21</v>
      </c>
      <c r="D751" s="208" t="inlineStr">
        <is>
          <t>Frecuencia (fraccionamiento)</t>
        </is>
      </c>
      <c r="E751" s="208" t="inlineStr">
        <is>
          <t>Comisiones frecuentes o fraccionadas bajo 4 UMA para omitir avisos.</t>
        </is>
      </c>
      <c r="F751" s="208" t="inlineStr">
        <is>
          <t>Comisiones periódicas sin patrón claro de fraccionamiento.</t>
        </is>
      </c>
      <c r="G751" s="208" t="inlineStr">
        <is>
          <t>Comisiones esporádicas y congruentes con el servicio.</t>
        </is>
      </c>
    </row>
    <row r="752" ht="18.75" customHeight="1" s="173">
      <c r="A752" s="208">
        <f>B752&amp;"-"&amp;C752</f>
        <v/>
      </c>
      <c r="B752" s="344" t="inlineStr">
        <is>
          <t>XVI - Activos virtuales (PSAV): cobro de contraprestación (comisión) por el servicio</t>
        </is>
      </c>
      <c r="C752" s="345" t="n">
        <v>22</v>
      </c>
      <c r="D752" s="208" t="inlineStr">
        <is>
          <t>Canal (presencial / no presencial / terceros)</t>
        </is>
      </c>
      <c r="E752" s="208" t="inlineStr">
        <is>
          <t>Cobro no presencial o a través de terceros sin contacto directo.</t>
        </is>
      </c>
      <c r="F752" s="208" t="inlineStr">
        <is>
          <t>Cobro no presencial con verificación parcial.</t>
        </is>
      </c>
      <c r="G752" s="208" t="inlineStr">
        <is>
          <t>Cobro con cliente verificado de forma directa.</t>
        </is>
      </c>
    </row>
    <row r="753" ht="18.75" customHeight="1" s="173">
      <c r="A753" s="208">
        <f>B753&amp;"-"&amp;C753</f>
        <v/>
      </c>
      <c r="B753" s="344" t="inlineStr">
        <is>
          <t>XVI - Activos virtuales (PSAV): cobro de contraprestación (comisión) por el servicio</t>
        </is>
      </c>
      <c r="C753" s="345" t="n">
        <v>23</v>
      </c>
      <c r="D753" s="208" t="inlineStr">
        <is>
          <t>Origen de los recursos</t>
        </is>
      </c>
      <c r="E753" s="208" t="inlineStr">
        <is>
          <t>Origen del pago no acreditable, en efectivo o desde wallet no atribuible.</t>
        </is>
      </c>
      <c r="F753" s="208" t="inlineStr">
        <is>
          <t>Origen del pago parcialmente documentado.</t>
        </is>
      </c>
      <c r="G753" s="208" t="inlineStr">
        <is>
          <t>Origen del pago bancarizado y acreditado.</t>
        </is>
      </c>
    </row>
    <row r="754" ht="18.75" customHeight="1" s="173">
      <c r="A754" s="208">
        <f>B754&amp;"-"&amp;C754</f>
        <v/>
      </c>
      <c r="B754" s="344" t="inlineStr">
        <is>
          <t>XVI - Activos virtuales (PSAV): cobro de contraprestación (comisión) por el servicio</t>
        </is>
      </c>
      <c r="C754" s="345" t="n">
        <v>24</v>
      </c>
      <c r="D754" s="208" t="inlineStr">
        <is>
          <t>Destino de los recursos</t>
        </is>
      </c>
      <c r="E754" s="208" t="inlineStr">
        <is>
          <t>Comisión canalizada a terceros o al exterior sin justificación.</t>
        </is>
      </c>
      <c r="F754" s="208" t="inlineStr">
        <is>
          <t>Destino de la comisión parcialmente documentado.</t>
        </is>
      </c>
      <c r="G754" s="208" t="inlineStr">
        <is>
          <t>Destino de la comisión identificado y congruente.</t>
        </is>
      </c>
    </row>
    <row r="755" ht="18.75" customHeight="1" s="173">
      <c r="A755" s="208">
        <f>B755&amp;"-"&amp;C755</f>
        <v/>
      </c>
      <c r="B755" s="344" t="inlineStr">
        <is>
          <t>XVI - Activos virtuales (PSAV): cobro de contraprestación (comisión) por el servicio</t>
        </is>
      </c>
      <c r="C755" s="345" t="n">
        <v>25</v>
      </c>
      <c r="D755" s="208" t="inlineStr">
        <is>
          <t>Canales e instrumentos idóneos para el financiamiento al terrorismo</t>
        </is>
      </c>
      <c r="E755" s="208" t="inlineStr">
        <is>
          <t>La operación se realiza mediante cobro en criptomonedas de privacidad desde wallets no atribuibles, es decir, medios que permiten mover valor en montos pequeños sin identificar al destinatario final.</t>
        </is>
      </c>
      <c r="F755" s="208" t="inlineStr">
        <is>
          <t>Canal mixto o con verificación parcial: hay registro de la operación pero la trazabilidad del destinatario final es incompleta.</t>
        </is>
      </c>
      <c r="G755" s="208" t="inlineStr">
        <is>
          <t>Cobro desde cuenta o wallet verificada a nombre del propio usuario, con trazabilidad completa del origen y del destinatario.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2026-07-24T05:45:57Z</dcterms:created>
  <dcterms:modified xmlns:dcterms="http://purl.org/dc/terms/" xmlns:xsi="http://www.w3.org/2001/XMLSchema-instance" xsi:type="dcterms:W3CDTF">2026-08-25T00:52:11Z</dcterms:modified>
  <cp:revision>0</cp:revision>
</cp:coreProperties>
</file>